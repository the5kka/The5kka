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51fc1403c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25ccf68a3bb54e51"/>
    <x:sheet xmlns:r="http://schemas.openxmlformats.org/officeDocument/2006/relationships" name="RULE_MAIN" sheetId="2" r:id="Rb19f96c0441c4c54"/>
    <x:sheet xmlns:r="http://schemas.openxmlformats.org/officeDocument/2006/relationships" name="MGMT_RULE" sheetId="3" r:id="R9ab11149f23040fc"/>
    <x:sheet xmlns:r="http://schemas.openxmlformats.org/officeDocument/2006/relationships" name="PG_LIST" sheetId="4" r:id="Ra7592e224bad4db6"/>
    <x:sheet xmlns:r="http://schemas.openxmlformats.org/officeDocument/2006/relationships" name="GUIDE" sheetId="5" r:id="R43d8944708c54499"/>
  </x:sheets>
</x:workbook>
</file>

<file path=xl/sharedStrings.xml><?xml version="1.0" encoding="utf-8"?>
<x:sst xmlns:x="http://schemas.openxmlformats.org/spreadsheetml/2006/main">
  <x:si>
    <x:t xml:space="preserve">SPS DNC 신규 Trim P/G 추천 - STEP 제외 / 제품군+차수+OMS 기준</x:t>
  </x:si>
  <x:si>
    <x:t xml:space="preserve">관리번호</x:t>
  </x:si>
  <x:si>
    <x:t xml:space="preserve">차수</x:t>
  </x:si>
  <x:si>
    <x:t xml:space="preserve">OMS 1</x:t>
  </x:si>
  <x:si>
    <x:t xml:space="preserve">OMS 2</x:t>
  </x:si>
  <x:si>
    <x:t xml:space="preserve">제품군</x:t>
  </x:si>
  <x:si>
    <x:t xml:space="preserve">SIZE_KEY</x:t>
  </x:si>
  <x:si>
    <x:t xml:space="preserve">OMS2_KEY</x:t>
  </x:si>
  <x:si>
    <x:t xml:space="preserve">RULE_KEY</x:t>
  </x:si>
  <x:si>
    <x:t xml:space="preserve">ANY_KEY</x:t>
  </x:si>
  <x:si>
    <x:t xml:space="preserve">관리번호_KEY</x:t>
  </x:si>
  <x:si>
    <x:t xml:space="preserve">추천 Trim P/G</x:t>
  </x:si>
  <x:si>
    <x:t xml:space="preserve">최종판정</x:t>
  </x:si>
  <x:si>
    <x:t xml:space="preserve">적용구분</x:t>
  </x:si>
  <x:si>
    <x:t xml:space="preserve">비고</x:t>
  </x:si>
  <x:si>
    <x:t xml:space="preserve">주의</x:t>
  </x:si>
  <x:si>
    <x:t xml:space="preserve">실제 사용 프로그램</x:t>
  </x:si>
  <x:si>
    <x:t xml:space="preserve">MCP22465B00-005</x:t>
  </x:si>
  <x:si>
    <x:t xml:space="preserve">▷후가공 Size 411 512 mm</x:t>
  </x:si>
  <x:si>
    <x:t xml:space="preserve">▷스텍 핀 : 판넬 센터 ▷방향홀 우측 Stacking 必, Edge 좌측 : 5R, 우측 : 2R 가공</x:t>
  </x:si>
  <x:si>
    <x:t xml:space="preserve">MCP19780C00-009</x:t>
  </x:si>
  <x:si>
    <x:t xml:space="preserve">▷스텍핀 판넬 센터</x:t>
  </x:si>
  <x:si>
    <x:t xml:space="preserve">MCP21815C00-013</x:t>
  </x:si>
  <x:si>
    <x:t xml:space="preserve">▷후가공 Size 415 515 mm</x:t>
  </x:si>
  <x:si>
    <x:t xml:space="preserve">▷ 뽕따기 금지 !! ▷스텍 핀 : 판넬 센터 ▷방향홀 우측 Stacking 必</x:t>
  </x:si>
  <x:si>
    <x:t xml:space="preserve">FLC10340B00-007</x:t>
  </x:si>
  <x:si>
    <x:t xml:space="preserve">▷후가공 Size 411 512 mm▷스텍핀 판넬 센터</x:t>
  </x:si>
  <x:si>
    <x:t xml:space="preserve">FLC10340B00-005</x:t>
  </x:si>
  <x:si>
    <x:t xml:space="preserve">FLC10670B00-004</x:t>
  </x:si>
  <x:si>
    <x:t xml:space="preserve">▷후가공 Size 413 513 mm</x:t>
  </x:si>
  <x:si>
    <x:t xml:space="preserve">FLC13383A00-004</x:t>
  </x:si>
  <x:si>
    <x:t xml:space="preserve">▷후가공 Size 415 516 mm</x:t>
  </x:si>
  <x:si>
    <x:t xml:space="preserve">BOC05371C00-008</x:t>
  </x:si>
  <x:si>
    <x:t xml:space="preserve">MCP18371H00-010</x:t>
  </x:si>
  <x:si>
    <x:t xml:space="preserve">▷후가공 Size 411 512 mm </x:t>
  </x:si>
  <x:si>
    <x:t xml:space="preserve">MCP20181A00-006</x:t>
  </x:si>
  <x:si>
    <x:t xml:space="preserve">▷스텍핀 판넬 센터 ▷방향홀 우측 Stacking 必, Edge 좌측 : 5R, 우측 : 2R 가공</x:t>
  </x:si>
  <x:si>
    <x:t xml:space="preserve">▷스텍핀 판넬 센터 </x:t>
  </x:si>
  <x:si>
    <x:t xml:space="preserve">MCP18446A00-014</x:t>
  </x:si>
  <x:si>
    <x:t xml:space="preserve">▷후가공 Size 411 512 mm ▷스텍핀 판넬 센터</x:t>
  </x:si>
  <x:si>
    <x:t xml:space="preserve">MCP24317A00-008</x:t>
  </x:si>
  <x:si>
    <x:t xml:space="preserve">▷스텍핀 판넬 센터에서 우측10mm</x:t>
  </x:si>
  <x:si>
    <x:t xml:space="preserve">ST-BOC-500(+10)(415-516)2R(New)</x:t>
  </x:si>
  <x:si>
    <x:t xml:space="preserve">MCP23328A00-003</x:t>
  </x:si>
  <x:si>
    <x:t xml:space="preserve">▷후가공 SIZE 유의</x:t>
  </x:si>
  <x:si>
    <x:t xml:space="preserve">MCP22313A00-013</x:t>
  </x:si>
  <x:si>
    <x:t xml:space="preserve">MCP13515C00-026</x:t>
  </x:si>
  <x:si>
    <x:t xml:space="preserve">▷스텍 핀 : 판넬 센터 ▷방향홀 우측 Stacking 必, Edge 좌측 : 5R, 우측 : 2R 가공 ▷후가공(2차) 411X512 ▷스텍핀 판넬 센터 </x:t>
  </x:si>
  <x:si>
    <x:t xml:space="preserve">MCP22660A00-005</x:t>
  </x:si>
  <x:si>
    <x:t xml:space="preserve">▷ 뽕따기 금지 !! ▷스텍 핀 : 판넬 센터 ▷방향홀 우측 Stacking 必, Edge 좌측 : 5R, 우측 : 2R 가공</x:t>
  </x:si>
  <x:si>
    <x:t xml:space="preserve">ST-03L-500(415-515)2R</x:t>
  </x:si>
  <x:si>
    <x:t xml:space="preserve">MCP21074B00-006</x:t>
  </x:si>
  <x:si>
    <x:t xml:space="preserve">MCP22856A00-006</x:t>
  </x:si>
  <x:si>
    <x:t xml:space="preserve">MCP22396B00-001</x:t>
  </x:si>
  <x:si>
    <x:t xml:space="preserve">MCP16735C00-006</x:t>
  </x:si>
  <x:si>
    <x:t xml:space="preserve">▷3점 X-ray가공 (Y500 역삽X110.38) ▷스텍핀 판넬 센터</x:t>
  </x:si>
  <x:si>
    <x:t xml:space="preserve">MCP24855A00-000</x:t>
  </x:si>
  <x:si>
    <x:t xml:space="preserve">▷후가공(1차) 411X512 ▷스텍핀 판넬 센터</x:t>
  </x:si>
  <x:si>
    <x:t xml:space="preserve">FLC13174A00-006</x:t>
  </x:si>
  <x:si>
    <x:t xml:space="preserve">▷후가공(1차) : 411X512mm (Y500 역삽X110) ▷스텍핀 판넬 센터</x:t>
  </x:si>
  <x:si>
    <x:t xml:space="preserve">MCP18371H00-011</x:t>
  </x:si>
  <x:si>
    <x:t xml:space="preserve">MCP23635F00-008</x:t>
  </x:si>
  <x:si>
    <x:t xml:space="preserve">MCP21636B00-003</x:t>
  </x:si>
  <x:si>
    <x:t xml:space="preserve">MCP24775A00-003</x:t>
  </x:si>
  <x:si>
    <x:t xml:space="preserve">▷후가공 Size 411 512  mm </x:t>
  </x:si>
  <x:si>
    <x:t xml:space="preserve">MCP23592A00-004</x:t>
  </x:si>
  <x:si>
    <x:t xml:space="preserve">▷스텍핀 판넬 센터★ 후가공 SIZE 유의</x:t>
  </x:si>
  <x:si>
    <x:t xml:space="preserve">MCP20870C00-013</x:t>
  </x:si>
  <x:si>
    <x:t xml:space="preserve">▷후가공 Size 411 512  mm</x:t>
  </x:si>
  <x:si>
    <x:t xml:space="preserve">MCP24921A00-001</x:t>
  </x:si>
  <x:si>
    <x:t xml:space="preserve">▷스텍핀 판넬 센터 ▷후가공 Size 411 512 mm</x:t>
  </x:si>
  <x:si>
    <x:t xml:space="preserve">Trim P/G</x:t>
  </x:si>
  <x:si>
    <x:t xml:space="preserve">MCP|1|411-512|ANY</x:t>
  </x:si>
  <x:si>
    <x:t xml:space="preserve">MCP</x:t>
  </x:si>
  <x:si>
    <x:t xml:space="preserve">411-512</x:t>
  </x:si>
  <x:si>
    <x:t xml:space="preserve">ANY</x:t>
  </x:si>
  <x:si>
    <x:t xml:space="preserve">ST-BOC-500(411-512)2R</x:t>
  </x:si>
  <x:si>
    <x:t xml:space="preserve">MCP 1차 411-512 기본</x:t>
  </x:si>
  <x:si>
    <x:t xml:space="preserve">MCP|2|411-512|ANY</x:t>
  </x:si>
  <x:si>
    <x:t xml:space="preserve">ST-3Layer-500+4Hole(411-512)_2R_2_2024 T01 T02 test</x:t>
  </x:si>
  <x:si>
    <x:t xml:space="preserve">MCP 2차 411-512 기본</x:t>
  </x:si>
  <x:si>
    <x:t xml:space="preserve">MCP|2|415-515|ANY</x:t>
  </x:si>
  <x:si>
    <x:t xml:space="preserve">415-515</x:t>
  </x:si>
  <x:si>
    <x:t xml:space="preserve">ST-03L2-500(415-515)_2R</x:t>
  </x:si>
  <x:si>
    <x:t xml:space="preserve">MCP 2차 415-515</x:t>
  </x:si>
  <x:si>
    <x:t xml:space="preserve">MCP|3|411-512|ANY</x:t>
  </x:si>
  <x:si>
    <x:t xml:space="preserve">MCP 3차 411-512</x:t>
  </x:si>
  <x:si>
    <x:t xml:space="preserve">BOC|1|411-512|ANY</x:t>
  </x:si>
  <x:si>
    <x:t xml:space="preserve">BOC</x:t>
  </x:si>
  <x:si>
    <x:t xml:space="preserve">BOC 1차 411-512</x:t>
  </x:si>
  <x:si>
    <x:t xml:space="preserve">EMC|1|411-512|ANY</x:t>
  </x:si>
  <x:si>
    <x:t xml:space="preserve">EMC</x:t>
  </x:si>
  <x:si>
    <x:t xml:space="preserve">EMC 1차 411-512</x:t>
  </x:si>
  <x:si>
    <x:t xml:space="preserve">FLC|1|411-512|ANY</x:t>
  </x:si>
  <x:si>
    <x:t xml:space="preserve">FLC</x:t>
  </x:si>
  <x:si>
    <x:t xml:space="preserve">FLC 1차 411-512</x:t>
  </x:si>
  <x:si>
    <x:t xml:space="preserve">FLC|1|413-513|ANY</x:t>
  </x:si>
  <x:si>
    <x:t xml:space="preserve">413-513</x:t>
  </x:si>
  <x:si>
    <x:t xml:space="preserve">ST-06-1-500+10(413-513)2R</x:t>
  </x:si>
  <x:si>
    <x:t xml:space="preserve">FLC 1차 413-513</x:t>
  </x:si>
  <x:si>
    <x:t xml:space="preserve">FLC|2|413-513|ANY</x:t>
  </x:si>
  <x:si>
    <x:t xml:space="preserve">FLC 2차 413-513</x:t>
  </x:si>
  <x:si>
    <x:t xml:space="preserve">FLC|2|415-516|ANY</x:t>
  </x:si>
  <x:si>
    <x:t xml:space="preserve">415-516</x:t>
  </x:si>
  <x:si>
    <x:t xml:space="preserve">ST-BOC-500(415-516)2R(New)</x:t>
  </x:si>
  <x:si>
    <x:t xml:space="preserve">FLC 2차 415-516</x:t>
  </x:si>
  <x:si>
    <x:t xml:space="preserve">FLC|2|411-512|ANY</x:t>
  </x:si>
  <x:si>
    <x:t xml:space="preserve">후보: 06-OUT_(411-512)2R(New) / ST-BOC-500(411-512)2R</x:t>
  </x:si>
  <x:si>
    <x:t xml:space="preserve">FLC 2차 411-512는 관리번호별 분기</x:t>
  </x:si>
  <x:si>
    <x:t xml:space="preserve">FLC10340B00-007|2|411-512|CENTER</x:t>
  </x:si>
  <x:si>
    <x:t xml:space="preserve">CENTER</x:t>
  </x:si>
  <x:si>
    <x:t xml:space="preserve">확정</x:t>
  </x:si>
  <x:si>
    <x:t xml:space="preserve">06-OUT_(411-512)2R(New)</x:t>
  </x:si>
  <x:si>
    <x:t xml:space="preserve">FLC10340B00-005|2|411-512|OMS2 확인</x:t>
  </x:si>
  <x:si>
    <x:t xml:space="preserve">OMS2 확인</x:t>
  </x:si>
  <x:si>
    <x:t xml:space="preserve">FLC10670B00-004|2|411-512|OMS2 확인</x:t>
  </x:si>
  <x:si>
    <x:t xml:space="preserve">FLC12436A00-00|2|411-512|OMS2 확인</x:t>
  </x:si>
  <x:si>
    <x:t xml:space="preserve">FLC12436A00-00</x:t>
  </x:si>
  <x:si>
    <x:t xml:space="preserve">FLC09603A00-011|2|411-512|OMS2 확인</x:t>
  </x:si>
  <x:si>
    <x:t xml:space="preserve">FLC09603A00-011</x:t>
  </x:si>
  <x:si>
    <x:t xml:space="preserve">FLC07541A00-018|2|411-512|OMS2 확인</x:t>
  </x:si>
  <x:si>
    <x:t xml:space="preserve">FLC07541A00-018</x:t>
  </x:si>
  <x:si>
    <x:t xml:space="preserve">MCP24231A00-008|4|411-512|OMS2 확인</x:t>
  </x:si>
  <x:si>
    <x:t xml:space="preserve">MCP24231A00-008</x:t>
  </x:si>
  <x:si>
    <x:t xml:space="preserve">예외</x:t>
  </x:si>
  <x:si>
    <x:t xml:space="preserve">실제 DNC Program 파일명</x:t>
  </x:si>
  <x:si>
    <x:t xml:space="preserve">등록상태</x:t>
  </x:si>
  <x:si>
    <x:t xml:space="preserve">등록</x:t>
  </x:si>
  <x:si>
    <x:t xml:space="preserve">운영 기준</x:t>
  </x:si>
  <x:si>
    <x:t xml:space="preserve">1. STEP은 사용하지 않음</x:t>
  </x:si>
  <x:si>
    <x:t xml:space="preserve">2. 기본 추천 기준: 제품군 + 차수 + OMS1 SIZE + OMS2_KEY</x:t>
  </x:si>
  <x:si>
    <x:t xml:space="preserve">3. MGMT_RULE은 예외/확정 제품만 우선 적용</x:t>
  </x:si>
  <x:si>
    <x:t xml:space="preserve">4. FLC + 2차 + 411-512는 Program 후보가 2개라 MGMT_RULE 없으면 관리자 확인</x:t>
  </x:si>
  <x:si>
    <x:t xml:space="preserve">5. 추천값은 최대한 표시하되, 후보/미등록/관리자 확인은 DNC 차단</x:t>
  </x:si>
  <x:si>
    <x:t xml:space="preserve">6. 신규 확정 시 MGMT_RULE에 추가하면 다음부터 자동 추천</x:t>
  </x:si>
  <x:si>
    <x:t xml:space="preserve">7. Excel 2024 호환: XLOOKUP/TEXTAFTER/LET 미사용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</x:si>
</x:sst>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sz val="11"/>
      <x:name val="Carlito"/>
    </x:font>
    <x:font>
      <x:sz val="8"/>
      <x:name val="돋움"/>
    </x:font>
    <x:font>
      <x:b/>
      <x:sz val="11"/>
      <x:color rgb="FFFFFFFF"/>
      <x:name val="맑은 고딕"/>
    </x:font>
    <x:font>
      <x:i/>
      <x:sz val="11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4" fillId="0" borderId="0"/>
  </x:cellStyleXfs>
  <x:cellXfs count="17">
    <x:xf numFmtId="0" fontId="0" fillId="0" borderId="0" xfId="0"/>
    <x:xf numFmtId="0" fontId="2" fillId="2" borderId="0" xfId="1" applyFont="1" applyFill="1" applyAlignment="1">
      <x:alignment horizontal="center" vertical="center"/>
    </x:xf>
    <x:xf numFmtId="0" fontId="0" fillId="3" borderId="0" xfId="1" applyFont="1" applyFill="1" applyAlignment="1">
      <x:alignment vertical="top" wrapText="1"/>
    </x:xf>
    <x:xf numFmtId="0" fontId="0" fillId="4" borderId="0" xfId="1" applyFont="1" applyFill="1" applyAlignment="1">
      <x:alignment horizontal="center" vertical="top"/>
    </x:xf>
    <x:xf numFmtId="0" fontId="0" fillId="5" borderId="0" xfId="1" applyFont="1" applyFill="1" applyAlignment="1">
      <x:alignment vertical="top" wrapText="1"/>
    </x:xf>
    <x:xf numFmtId="0" fontId="0" fillId="6" borderId="0" xfId="1" applyFont="1" applyFill="1" applyAlignment="1">
      <x:alignment horizontal="center"/>
    </x:xf>
    <x:xf numFmtId="0" fontId="0" fillId="7" borderId="0" xfId="1" applyFont="1" applyFill="1" applyAlignment="1">
      <x:alignment wrapText="1"/>
    </x:xf>
    <x:xf numFmtId="0" fontId="3" fillId="0" borderId="0" xfId="1" applyFont="1"/>
    <x:xf numFmtId="0" fontId="6" fillId="2" borderId="0" xfId="1" applyFont="1" applyFill="1" applyAlignment="1">
      <x:alignment horizontal="center" vertical="center"/>
    </x:xf>
    <x:xf numFmtId="0" fontId="7" fillId="0" borderId="0" xfId="0" applyFont="1"/>
    <x:xf numFmtId="0" fontId="7" fillId="0" borderId="0" xfId="0" applyFont="1" applyAlignment="1">
      <x:alignment vertical="center"/>
    </x:xf>
    <x:xf numFmtId="0" fontId="1" fillId="2" borderId="0" xfId="1" applyFont="1" applyFill="1" applyAlignment="1">
      <x:alignment horizontal="center" vertical="center"/>
    </x:xf>
    <x:xf numFmtId="0" fontId="0" fillId="0" borderId="0" xfId="0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cc522c3ca436e" /><Relationship Type="http://schemas.openxmlformats.org/officeDocument/2006/relationships/theme" Target="/xl/theme/theme1.xml" Id="R391bdbcce56a4a45" /><Relationship Type="http://schemas.openxmlformats.org/officeDocument/2006/relationships/sharedStrings" Target="/xl/sharedStrings.xml" Id="Reb24eb396b2246ee" /><Relationship Type="http://schemas.openxmlformats.org/officeDocument/2006/relationships/worksheet" Target="/xl/worksheets/sheet1.xml" Id="R25ccf68a3bb54e51" /><Relationship Type="http://schemas.openxmlformats.org/officeDocument/2006/relationships/worksheet" Target="/xl/worksheets/sheet2.xml" Id="Rb19f96c0441c4c54" /><Relationship Type="http://schemas.openxmlformats.org/officeDocument/2006/relationships/worksheet" Target="/xl/worksheets/sheet3.xml" Id="R9ab11149f23040fc" /><Relationship Type="http://schemas.openxmlformats.org/officeDocument/2006/relationships/worksheet" Target="/xl/worksheets/sheet4.xml" Id="Ra7592e224bad4db6" /><Relationship Type="http://schemas.openxmlformats.org/officeDocument/2006/relationships/worksheet" Target="/xl/worksheets/sheet5.xml" Id="R43d8944708c544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4" customWidth="1"/>
    <x:col min="2" max="2" width="8" customWidth="1"/>
    <x:col min="3" max="3" width="42" customWidth="1"/>
    <x:col min="4" max="4" width="70" customWidth="1"/>
    <x:col min="5" max="5" width="10" hidden="1" customWidth="1"/>
    <x:col min="6" max="6" width="14" hidden="1" customWidth="1"/>
    <x:col min="7" max="7" width="16" hidden="1" customWidth="1"/>
    <x:col min="8" max="8" width="34" hidden="1" customWidth="1"/>
    <x:col min="9" max="9" width="28" hidden="1" customWidth="1"/>
    <x:col min="10" max="10" width="42" hidden="1" customWidth="1"/>
    <x:col min="11" max="11" width="76" customWidth="1"/>
    <x:col min="12" max="12" width="20" customWidth="1"/>
    <x:col min="13" max="13" width="22" customWidth="1"/>
    <x:col min="14" max="14" width="36" customWidth="1"/>
    <x:col min="15" max="15" width="24" customWidth="1"/>
    <x:col min="16" max="16" width="34.125" customWidth="1"/>
  </x:cols>
  <x:sheetData>
    <x:row r="1" ht="27.950000762939453" customHeight="1">
      <x:c r="A1" s="11" t="s">
        <x:v>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</x:row>
    <x:row r="3" ht="16.5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  <x:c r="G3" s="1" t="s">
        <x:v>7</x:v>
      </x:c>
      <x:c r="H3" s="1" t="s">
        <x:v>8</x:v>
      </x:c>
      <x:c r="I3" s="1" t="s">
        <x:v>9</x:v>
      </x:c>
      <x:c r="J3" s="1" t="s">
        <x:v>10</x:v>
      </x:c>
      <x:c r="K3" s="1" t="s">
        <x:v>11</x:v>
      </x:c>
      <x:c r="L3" s="1" t="s">
        <x:v>12</x:v>
      </x:c>
      <x:c r="M3" s="1" t="s">
        <x:v>13</x:v>
      </x:c>
      <x:c r="N3" s="1" t="s">
        <x:v>14</x:v>
      </x:c>
      <x:c r="O3" s="1" t="s">
        <x:v>15</x:v>
      </x:c>
      <x:c r="P3" s="8" t="s">
        <x:v>16</x:v>
      </x:c>
    </x:row>
    <x:row r="4">
      <x:c r="A4" s="2" t="s">
        <x:v>17</x:v>
      </x:c>
      <x:c r="B4" s="2">
        <x:v>2</x:v>
      </x:c>
      <x:c r="C4" s="2" t="s">
        <x:v>18</x:v>
      </x:c>
      <x:c r="D4" s="2" t="s">
        <x:v>19</x:v>
      </x:c>
      <x:c r="E4" s="3" t="str">
        <x:f t="shared" ref="E4:E67" si="0">IF(A4="","",LEFT(A4,3))</x:f>
        <x:v>MCP</x:v>
      </x:c>
      <x:c r="F4" s="3" t="str">
        <x:f t="shared" ref="F4:F67" si="1">IF(C4="","",IF(ISNUMBER(SEARCH("415 516",C4)),"415-516",IF(ISNUMBER(SEARCH("415 515",C4)),"415-515",IF(ISNUMBER(SEARCH("413 513",C4)),"413-513",IF(ISNUMBER(SEARCH("411 512",C4)),"411-512","SIZE 확인")))))</x:f>
        <x:v>411-512</x:v>
      </x:c>
      <x:c r="G4" s="3" t="str">
        <x:f t="shared" ref="G4:G67" si="2">IF(D4="","OMS2 확인",IF(OR(ISNUMBER(SEARCH("우측10",D4)),ISNUMBER(SEARCH("우측 10",D4))),"우측10mm",IF(ISNUMBER(SEARCH("방향홀",D4)),"방향홀",IF(ISNUMBER(SEARCH("후가공(2차)",D4)),"후가공(2차)",IF(ISNUMBER(SEARCH("후가공(1차)",D4)),"후가공(1차)",IF(ISNUMBER(SEARCH("센터",D4)),"CENTER",IF(ISNUMBER(SEARCH("SIZE 유의",D4)),"주의문구","OMS2 확인")))))))</x:f>
        <x:v>방향홀</x:v>
      </x:c>
      <x:c r="H4" s="3" t="str">
        <x:f t="shared" ref="H4:H67" si="3">IF(A4="","",E4&amp;"|"&amp;B4&amp;"|"&amp;F4&amp;"|"&amp;G4)</x:f>
        <x:v>MCP|2|411-512|방향홀</x:v>
      </x:c>
      <x:c r="I4" s="3" t="str">
        <x:f t="shared" ref="I4:I67" si="4">IF(A4="","",E4&amp;"|"&amp;B4&amp;"|"&amp;F4&amp;"|ANY")</x:f>
        <x:v>MCP|2|411-512|ANY</x:v>
      </x:c>
      <x:c r="J4" s="3" t="str">
        <x:f t="shared" ref="J4:J67" si="5">IF(A4="","",A4&amp;"|"&amp;B4&amp;"|"&amp;F4&amp;"|"&amp;G4)</x:f>
        <x:v>MCP22465B00-005|2|411-512|방향홀</x:v>
      </x:c>
      <x:c r="K4" s="4" t="str">
        <x:f>IF(A4="","",IFERROR(VLOOKUP(J4,MGMT_RULE!$A:$G,7,FALSE),IFERROR(VLOOKUP(H4,RULE_MAIN!$A:$F,6,FALSE),IFERROR(VLOOKUP(I4,RULE_MAIN!$A:$F,6,FALSE),"관리자 확인"))))</x:f>
        <x:v>ST-3Layer-500+4Hole(411-512)_2R_2_2024 T01 T02 test</x:v>
      </x:c>
      <x:c r="L4" s="5" t="str">
        <x:f>IF(A4="","",IF(K4="관리자 확인","DNC 차단",IF(ISNUMBER(SEARCH("후보",K4)),"관리자 확인",IFERROR(IF(MATCH(K4,PG_LIST!$A:$A,0)&gt;0,"DNC 가능","Program 파일 없음"),"Program 파일 없음"))))</x:f>
        <x:v>DNC 가능</x:v>
      </x:c>
      <x:c r="M4" s="6" t="str">
        <x:f>IF(A4="","",IF(COUNTIF(MGMT_RULE!$A:$A,J4)&gt;0,"관리번호 전용 RULE",IF(COUNTIF(RULE_MAIN!$A:$A,H4)&gt;0,"정확 RULE",IF(COUNTIF(RULE_MAIN!$A:$A,I4)&gt;0,"ANY RULE","확정 RULE 필요"))))</x:f>
        <x:v>ANY RULE</x:v>
      </x:c>
      <x:c r="N4" s="6" t="str">
        <x:f t="shared" ref="N4:N67" si="6">IF(A4="","",IF(ISNUMBER(SEARCH("후보",K4)),"동일 조건 Program 후보 2개 이상",IF(K4="관리자 확인","조건 미등록","")))</x:f>
      </x:c>
      <x:c r="O4" s="6" t="str">
        <x:f t="shared" ref="O4:O67" si="7">IF(A4="","",IF(OR(F4="SIZE 확인",G4="OMS2 확인"),"OMS 문구 확인 필요",""))</x:f>
      </x:c>
    </x:row>
    <x:row r="5">
      <x:c r="A5" s="2" t="s">
        <x:v>20</x:v>
      </x:c>
      <x:c r="B5" s="2">
        <x:v>2</x:v>
      </x:c>
      <x:c r="C5" s="2" t="s">
        <x:v>18</x:v>
      </x:c>
      <x:c r="D5" s="2" t="s">
        <x:v>21</x:v>
      </x:c>
      <x:c r="E5" s="3" t="str">
        <x:f t="shared" si="0"/>
        <x:v>MCP</x:v>
      </x:c>
      <x:c r="F5" s="3" t="str">
        <x:f t="shared" si="1"/>
        <x:v>411-512</x:v>
      </x:c>
      <x:c r="G5" s="3" t="str">
        <x:f t="shared" si="2"/>
        <x:v>CENTER</x:v>
      </x:c>
      <x:c r="H5" s="3" t="str">
        <x:f t="shared" si="3"/>
        <x:v>MCP|2|411-512|CENTER</x:v>
      </x:c>
      <x:c r="I5" s="3" t="str">
        <x:f t="shared" si="4"/>
        <x:v>MCP|2|411-512|ANY</x:v>
      </x:c>
      <x:c r="J5" s="3" t="str">
        <x:f t="shared" si="5"/>
        <x:v>MCP19780C00-009|2|411-512|CENTER</x:v>
      </x:c>
      <x:c r="K5" s="4" t="str">
        <x:f>IF(A5="","",IFERROR(VLOOKUP(J5,MGMT_RULE!$A:$G,7,FALSE),IFERROR(VLOOKUP(H5,RULE_MAIN!$A:$F,6,FALSE),IFERROR(VLOOKUP(I5,RULE_MAIN!$A:$F,6,FALSE),"관리자 확인"))))</x:f>
        <x:v>ST-3Layer-500+4Hole(411-512)_2R_2_2024 T01 T02 test</x:v>
      </x:c>
      <x:c r="L5" s="5" t="str">
        <x:f>IF(A5="","",IF(K5="관리자 확인","DNC 차단",IF(ISNUMBER(SEARCH("후보",K5)),"관리자 확인",IFERROR(IF(MATCH(K5,PG_LIST!$A:$A,0)&gt;0,"DNC 가능","Program 파일 없음"),"Program 파일 없음"))))</x:f>
        <x:v>DNC 가능</x:v>
      </x:c>
      <x:c r="M5" s="6" t="str">
        <x:f>IF(A5="","",IF(COUNTIF(MGMT_RULE!$A:$A,J5)&gt;0,"관리번호 전용 RULE",IF(COUNTIF(RULE_MAIN!$A:$A,H5)&gt;0,"정확 RULE",IF(COUNTIF(RULE_MAIN!$A:$A,I5)&gt;0,"ANY RULE","확정 RULE 필요"))))</x:f>
        <x:v>ANY RULE</x:v>
      </x:c>
      <x:c r="N5" s="6" t="str">
        <x:f t="shared" si="6"/>
      </x:c>
      <x:c r="O5" s="6" t="str">
        <x:f t="shared" si="7"/>
      </x:c>
    </x:row>
    <x:row r="6">
      <x:c r="A6" s="2" t="s">
        <x:v>22</x:v>
      </x:c>
      <x:c r="B6" s="2">
        <x:v>2</x:v>
      </x:c>
      <x:c r="C6" s="2" t="s">
        <x:v>23</x:v>
      </x:c>
      <x:c r="D6" s="2" t="s">
        <x:v>24</x:v>
      </x:c>
      <x:c r="E6" s="3" t="str">
        <x:f t="shared" si="0"/>
        <x:v>MCP</x:v>
      </x:c>
      <x:c r="F6" s="3" t="str">
        <x:f t="shared" si="1"/>
        <x:v>415-515</x:v>
      </x:c>
      <x:c r="G6" s="3" t="str">
        <x:f t="shared" si="2"/>
        <x:v>방향홀</x:v>
      </x:c>
      <x:c r="H6" s="3" t="str">
        <x:f t="shared" si="3"/>
        <x:v>MCP|2|415-515|방향홀</x:v>
      </x:c>
      <x:c r="I6" s="3" t="str">
        <x:f t="shared" si="4"/>
        <x:v>MCP|2|415-515|ANY</x:v>
      </x:c>
      <x:c r="J6" s="3" t="str">
        <x:f t="shared" si="5"/>
        <x:v>MCP21815C00-013|2|415-515|방향홀</x:v>
      </x:c>
      <x:c r="K6" s="4" t="str">
        <x:f>IF(A6="","",IFERROR(VLOOKUP(J6,MGMT_RULE!$A:$G,7,FALSE),IFERROR(VLOOKUP(H6,RULE_MAIN!$A:$F,6,FALSE),IFERROR(VLOOKUP(I6,RULE_MAIN!$A:$F,6,FALSE),"관리자 확인"))))</x:f>
        <x:v>ST-03L-500(415-515)2R</x:v>
      </x:c>
      <x:c r="L6" s="5" t="str">
        <x:f>IF(A6="","",IF(K6="관리자 확인","DNC 차단",IF(ISNUMBER(SEARCH("후보",K6)),"관리자 확인",IFERROR(IF(MATCH(K6,PG_LIST!$A:$A,0)&gt;0,"DNC 가능","Program 파일 없음"),"Program 파일 없음"))))</x:f>
        <x:v>DNC 가능</x:v>
      </x:c>
      <x:c r="M6" s="6" t="str">
        <x:f>IF(A6="","",IF(COUNTIF(MGMT_RULE!$A:$A,J6)&gt;0,"관리번호 전용 RULE",IF(COUNTIF(RULE_MAIN!$A:$A,H6)&gt;0,"정확 RULE",IF(COUNTIF(RULE_MAIN!$A:$A,I6)&gt;0,"ANY RULE","확정 RULE 필요"))))</x:f>
        <x:v>관리번호 전용 RULE</x:v>
      </x:c>
      <x:c r="N6" s="6" t="str">
        <x:f t="shared" si="6"/>
      </x:c>
      <x:c r="O6" s="6" t="str">
        <x:f t="shared" si="7"/>
      </x:c>
    </x:row>
    <x:row r="7">
      <x:c r="A7" s="2" t="s">
        <x:v>25</x:v>
      </x:c>
      <x:c r="B7" s="2">
        <x:v>2</x:v>
      </x:c>
      <x:c r="C7" s="2" t="s">
        <x:v>18</x:v>
      </x:c>
      <x:c r="D7" s="2" t="s">
        <x:v>26</x:v>
      </x:c>
      <x:c r="E7" s="3" t="str">
        <x:f t="shared" si="0"/>
        <x:v>FLC</x:v>
      </x:c>
      <x:c r="F7" s="3" t="str">
        <x:f t="shared" si="1"/>
        <x:v>411-512</x:v>
      </x:c>
      <x:c r="G7" s="3" t="str">
        <x:f t="shared" si="2"/>
        <x:v>CENTER</x:v>
      </x:c>
      <x:c r="H7" s="3" t="str">
        <x:f t="shared" si="3"/>
        <x:v>FLC|2|411-512|CENTER</x:v>
      </x:c>
      <x:c r="I7" s="3" t="str">
        <x:f t="shared" si="4"/>
        <x:v>FLC|2|411-512|ANY</x:v>
      </x:c>
      <x:c r="J7" s="3" t="str">
        <x:f t="shared" si="5"/>
        <x:v>FLC10340B00-007|2|411-512|CENTER</x:v>
      </x:c>
      <x:c r="K7" s="4" t="str">
        <x:f>IF(A7="","",IFERROR(VLOOKUP(J7,MGMT_RULE!$A:$G,7,FALSE),IFERROR(VLOOKUP(H7,RULE_MAIN!$A:$F,6,FALSE),IFERROR(VLOOKUP(I7,RULE_MAIN!$A:$F,6,FALSE),"관리자 확인"))))</x:f>
        <x:v>06-OUT_(411-512)2R(New)</x:v>
      </x:c>
      <x:c r="L7" s="5" t="str">
        <x:f>IF(A7="","",IF(K7="관리자 확인","DNC 차단",IF(ISNUMBER(SEARCH("후보",K7)),"관리자 확인",IFERROR(IF(MATCH(K7,PG_LIST!$A:$A,0)&gt;0,"DNC 가능","Program 파일 없음"),"Program 파일 없음"))))</x:f>
        <x:v>DNC 가능</x:v>
      </x:c>
      <x:c r="M7" s="6" t="str">
        <x:f>IF(A7="","",IF(COUNTIF(MGMT_RULE!$A:$A,J7)&gt;0,"관리번호 전용 RULE",IF(COUNTIF(RULE_MAIN!$A:$A,H7)&gt;0,"정확 RULE",IF(COUNTIF(RULE_MAIN!$A:$A,I7)&gt;0,"ANY RULE","확정 RULE 필요"))))</x:f>
        <x:v>관리번호 전용 RULE</x:v>
      </x:c>
      <x:c r="N7" s="6" t="str">
        <x:f t="shared" si="6"/>
      </x:c>
      <x:c r="O7" s="6" t="str">
        <x:f t="shared" si="7"/>
      </x:c>
    </x:row>
    <x:row r="8">
      <x:c r="A8" s="2" t="s">
        <x:v>27</x:v>
      </x:c>
      <x:c r="B8" s="2">
        <x:v>2</x:v>
      </x:c>
      <x:c r="C8" s="2" t="s">
        <x:v>18</x:v>
      </x:c>
      <x:c r="D8" s="2"/>
      <x:c r="E8" s="3" t="str">
        <x:f t="shared" si="0"/>
        <x:v>FLC</x:v>
      </x:c>
      <x:c r="F8" s="3" t="str">
        <x:f t="shared" si="1"/>
        <x:v>411-512</x:v>
      </x:c>
      <x:c r="G8" s="3" t="str">
        <x:f t="shared" si="2"/>
        <x:v>OMS2 확인</x:v>
      </x:c>
      <x:c r="H8" s="3" t="str">
        <x:f t="shared" si="3"/>
        <x:v>FLC|2|411-512|OMS2 확인</x:v>
      </x:c>
      <x:c r="I8" s="3" t="str">
        <x:f t="shared" si="4"/>
        <x:v>FLC|2|411-512|ANY</x:v>
      </x:c>
      <x:c r="J8" s="3" t="str">
        <x:f t="shared" si="5"/>
        <x:v>FLC10340B00-005|2|411-512|OMS2 확인</x:v>
      </x:c>
      <x:c r="K8" s="4" t="str">
        <x:f>IF(A8="","",IFERROR(VLOOKUP(J8,MGMT_RULE!$A:$G,7,FALSE),IFERROR(VLOOKUP(H8,RULE_MAIN!$A:$F,6,FALSE),IFERROR(VLOOKUP(I8,RULE_MAIN!$A:$F,6,FALSE),"관리자 확인"))))</x:f>
        <x:v>ST-BOC-500(411-512)2R</x:v>
      </x:c>
      <x:c r="L8" s="5" t="str">
        <x:f>IF(A8="","",IF(K8="관리자 확인","DNC 차단",IF(ISNUMBER(SEARCH("후보",K8)),"관리자 확인",IFERROR(IF(MATCH(K8,PG_LIST!$A:$A,0)&gt;0,"DNC 가능","Program 파일 없음"),"Program 파일 없음"))))</x:f>
        <x:v>DNC 가능</x:v>
      </x:c>
      <x:c r="M8" s="6" t="str">
        <x:f>IF(A8="","",IF(COUNTIF(MGMT_RULE!$A:$A,J8)&gt;0,"관리번호 전용 RULE",IF(COUNTIF(RULE_MAIN!$A:$A,H8)&gt;0,"정확 RULE",IF(COUNTIF(RULE_MAIN!$A:$A,I8)&gt;0,"ANY RULE","확정 RULE 필요"))))</x:f>
        <x:v>관리번호 전용 RULE</x:v>
      </x:c>
      <x:c r="N8" s="6" t="str">
        <x:f t="shared" si="6"/>
      </x:c>
      <x:c r="O8" s="6" t="str">
        <x:f t="shared" si="7"/>
        <x:v>OMS 문구 확인 필요</x:v>
      </x:c>
    </x:row>
    <x:row r="9">
      <x:c r="A9" s="2" t="s">
        <x:v>28</x:v>
      </x:c>
      <x:c r="B9" s="2">
        <x:v>1</x:v>
      </x:c>
      <x:c r="C9" s="2" t="s">
        <x:v>29</x:v>
      </x:c>
      <x:c r="D9" s="2"/>
      <x:c r="E9" s="3" t="str">
        <x:f t="shared" si="0"/>
        <x:v>FLC</x:v>
      </x:c>
      <x:c r="F9" s="3" t="str">
        <x:f t="shared" si="1"/>
        <x:v>413-513</x:v>
      </x:c>
      <x:c r="G9" s="3" t="str">
        <x:f t="shared" si="2"/>
        <x:v>OMS2 확인</x:v>
      </x:c>
      <x:c r="H9" s="3" t="str">
        <x:f t="shared" si="3"/>
        <x:v>FLC|1|413-513|OMS2 확인</x:v>
      </x:c>
      <x:c r="I9" s="3" t="str">
        <x:f t="shared" si="4"/>
        <x:v>FLC|1|413-513|ANY</x:v>
      </x:c>
      <x:c r="J9" s="3" t="str">
        <x:f t="shared" si="5"/>
        <x:v>FLC10670B00-004|1|413-513|OMS2 확인</x:v>
      </x:c>
      <x:c r="K9" s="4" t="str">
        <x:f>IF(A9="","",IFERROR(VLOOKUP(J9,MGMT_RULE!$A:$G,7,FALSE),IFERROR(VLOOKUP(H9,RULE_MAIN!$A:$F,6,FALSE),IFERROR(VLOOKUP(I9,RULE_MAIN!$A:$F,6,FALSE),"관리자 확인"))))</x:f>
        <x:v>ST-06-1-500+10(413-513)2R</x:v>
      </x:c>
      <x:c r="L9" s="5" t="str">
        <x:f>IF(A9="","",IF(K9="관리자 확인","DNC 차단",IF(ISNUMBER(SEARCH("후보",K9)),"관리자 확인",IFERROR(IF(MATCH(K9,PG_LIST!$A:$A,0)&gt;0,"DNC 가능","Program 파일 없음"),"Program 파일 없음"))))</x:f>
        <x:v>DNC 가능</x:v>
      </x:c>
      <x:c r="M9" s="6" t="str">
        <x:f>IF(A9="","",IF(COUNTIF(MGMT_RULE!$A:$A,J9)&gt;0,"관리번호 전용 RULE",IF(COUNTIF(RULE_MAIN!$A:$A,H9)&gt;0,"정확 RULE",IF(COUNTIF(RULE_MAIN!$A:$A,I9)&gt;0,"ANY RULE","확정 RULE 필요"))))</x:f>
        <x:v>ANY RULE</x:v>
      </x:c>
      <x:c r="N9" s="6" t="str">
        <x:f t="shared" si="6"/>
      </x:c>
      <x:c r="O9" s="6" t="str">
        <x:f t="shared" si="7"/>
        <x:v>OMS 문구 확인 필요</x:v>
      </x:c>
    </x:row>
    <x:row r="10">
      <x:c r="A10" s="2" t="s">
        <x:v>30</x:v>
      </x:c>
      <x:c r="B10" s="2">
        <x:v>2</x:v>
      </x:c>
      <x:c r="C10" s="2" t="s">
        <x:v>31</x:v>
      </x:c>
      <x:c r="D10" s="2"/>
      <x:c r="E10" s="3" t="str">
        <x:f t="shared" si="0"/>
        <x:v>FLC</x:v>
      </x:c>
      <x:c r="F10" s="3" t="str">
        <x:f t="shared" si="1"/>
        <x:v>415-516</x:v>
      </x:c>
      <x:c r="G10" s="3" t="str">
        <x:f t="shared" si="2"/>
        <x:v>OMS2 확인</x:v>
      </x:c>
      <x:c r="H10" s="3" t="str">
        <x:f t="shared" si="3"/>
        <x:v>FLC|2|415-516|OMS2 확인</x:v>
      </x:c>
      <x:c r="I10" s="3" t="str">
        <x:f t="shared" si="4"/>
        <x:v>FLC|2|415-516|ANY</x:v>
      </x:c>
      <x:c r="J10" s="3" t="str">
        <x:f t="shared" si="5"/>
        <x:v>FLC13383A00-004|2|415-516|OMS2 확인</x:v>
      </x:c>
      <x:c r="K10" s="4" t="str">
        <x:f>IF(A10="","",IFERROR(VLOOKUP(J10,MGMT_RULE!$A:$G,7,FALSE),IFERROR(VLOOKUP(H10,RULE_MAIN!$A:$F,6,FALSE),IFERROR(VLOOKUP(I10,RULE_MAIN!$A:$F,6,FALSE),"관리자 확인"))))</x:f>
        <x:v>ST-BOC-500(415-516)2R(New)</x:v>
      </x:c>
      <x:c r="L10" s="5" t="str">
        <x:f>IF(A10="","",IF(K10="관리자 확인","DNC 차단",IF(ISNUMBER(SEARCH("후보",K10)),"관리자 확인",IFERROR(IF(MATCH(K10,PG_LIST!$A:$A,0)&gt;0,"DNC 가능","Program 파일 없음"),"Program 파일 없음"))))</x:f>
        <x:v>DNC 가능</x:v>
      </x:c>
      <x:c r="M10" s="6" t="str">
        <x:f>IF(A10="","",IF(COUNTIF(MGMT_RULE!$A:$A,J10)&gt;0,"관리번호 전용 RULE",IF(COUNTIF(RULE_MAIN!$A:$A,H10)&gt;0,"정확 RULE",IF(COUNTIF(RULE_MAIN!$A:$A,I10)&gt;0,"ANY RULE","확정 RULE 필요"))))</x:f>
        <x:v>ANY RULE</x:v>
      </x:c>
      <x:c r="N10" s="6" t="str">
        <x:f t="shared" si="6"/>
      </x:c>
      <x:c r="O10" s="6" t="str">
        <x:f t="shared" si="7"/>
        <x:v>OMS 문구 확인 필요</x:v>
      </x:c>
    </x:row>
    <x:row r="11">
      <x:c r="A11" s="2" t="s">
        <x:v>32</x:v>
      </x:c>
      <x:c r="B11" s="2">
        <x:v>1</x:v>
      </x:c>
      <x:c r="C11" s="2" t="s">
        <x:v>18</x:v>
      </x:c>
      <x:c r="D11" s="2" t="s">
        <x:v>21</x:v>
      </x:c>
      <x:c r="E11" s="3" t="str">
        <x:f t="shared" si="0"/>
        <x:v>BOC</x:v>
      </x:c>
      <x:c r="F11" s="3" t="str">
        <x:f t="shared" si="1"/>
        <x:v>411-512</x:v>
      </x:c>
      <x:c r="G11" s="3" t="str">
        <x:f t="shared" si="2"/>
        <x:v>CENTER</x:v>
      </x:c>
      <x:c r="H11" s="3" t="str">
        <x:f t="shared" si="3"/>
        <x:v>BOC|1|411-512|CENTER</x:v>
      </x:c>
      <x:c r="I11" s="3" t="str">
        <x:f t="shared" si="4"/>
        <x:v>BOC|1|411-512|ANY</x:v>
      </x:c>
      <x:c r="J11" s="3" t="str">
        <x:f t="shared" si="5"/>
        <x:v>BOC05371C00-008|1|411-512|CENTER</x:v>
      </x:c>
      <x:c r="K11" s="4" t="str">
        <x:f>IF(A11="","",IFERROR(VLOOKUP(J11,MGMT_RULE!$A:$G,7,FALSE),IFERROR(VLOOKUP(H11,RULE_MAIN!$A:$F,6,FALSE),IFERROR(VLOOKUP(I11,RULE_MAIN!$A:$F,6,FALSE),"관리자 확인"))))</x:f>
        <x:v>ST-BOC-500(411-512)2R</x:v>
      </x:c>
      <x:c r="L11" s="5" t="str">
        <x:f>IF(A11="","",IF(K11="관리자 확인","DNC 차단",IF(ISNUMBER(SEARCH("후보",K11)),"관리자 확인",IFERROR(IF(MATCH(K11,PG_LIST!$A:$A,0)&gt;0,"DNC 가능","Program 파일 없음"),"Program 파일 없음"))))</x:f>
        <x:v>DNC 가능</x:v>
      </x:c>
      <x:c r="M11" s="6" t="str">
        <x:f>IF(A11="","",IF(COUNTIF(MGMT_RULE!$A:$A,J11)&gt;0,"관리번호 전용 RULE",IF(COUNTIF(RULE_MAIN!$A:$A,H11)&gt;0,"정확 RULE",IF(COUNTIF(RULE_MAIN!$A:$A,I11)&gt;0,"ANY RULE","확정 RULE 필요"))))</x:f>
        <x:v>ANY RULE</x:v>
      </x:c>
      <x:c r="N11" s="6" t="str">
        <x:f t="shared" si="6"/>
      </x:c>
      <x:c r="O11" s="6" t="str">
        <x:f t="shared" si="7"/>
      </x:c>
    </x:row>
    <x:row r="12">
      <x:c r="A12" s="2" t="s">
        <x:v>33</x:v>
      </x:c>
      <x:c r="B12" s="2">
        <x:v>2</x:v>
      </x:c>
      <x:c r="C12" s="2" t="s">
        <x:v>34</x:v>
      </x:c>
      <x:c r="D12" s="2" t="s">
        <x:v>21</x:v>
      </x:c>
      <x:c r="E12" s="3" t="str">
        <x:f t="shared" si="0"/>
        <x:v>MCP</x:v>
      </x:c>
      <x:c r="F12" s="3" t="str">
        <x:f t="shared" si="1"/>
        <x:v>411-512</x:v>
      </x:c>
      <x:c r="G12" s="3" t="str">
        <x:f t="shared" si="2"/>
        <x:v>CENTER</x:v>
      </x:c>
      <x:c r="H12" s="3" t="str">
        <x:f t="shared" si="3"/>
        <x:v>MCP|2|411-512|CENTER</x:v>
      </x:c>
      <x:c r="I12" s="3" t="str">
        <x:f t="shared" si="4"/>
        <x:v>MCP|2|411-512|ANY</x:v>
      </x:c>
      <x:c r="J12" s="3" t="str">
        <x:f t="shared" si="5"/>
        <x:v>MCP18371H00-010|2|411-512|CENTER</x:v>
      </x:c>
      <x:c r="K12" s="4" t="str">
        <x:f>IF(A12="","",IFERROR(VLOOKUP(J12,MGMT_RULE!$A:$G,7,FALSE),IFERROR(VLOOKUP(H12,RULE_MAIN!$A:$F,6,FALSE),IFERROR(VLOOKUP(I12,RULE_MAIN!$A:$F,6,FALSE),"관리자 확인"))))</x:f>
        <x:v>ST-3Layer-500+4Hole(411-512)_2R_2_2024 T01 T02 test</x:v>
      </x:c>
      <x:c r="L12" s="5" t="str">
        <x:f>IF(A12="","",IF(K12="관리자 확인","DNC 차단",IF(ISNUMBER(SEARCH("후보",K12)),"관리자 확인",IFERROR(IF(MATCH(K12,PG_LIST!$A:$A,0)&gt;0,"DNC 가능","Program 파일 없음"),"Program 파일 없음"))))</x:f>
        <x:v>DNC 가능</x:v>
      </x:c>
      <x:c r="M12" s="6" t="str">
        <x:f>IF(A12="","",IF(COUNTIF(MGMT_RULE!$A:$A,J12)&gt;0,"관리번호 전용 RULE",IF(COUNTIF(RULE_MAIN!$A:$A,H12)&gt;0,"정확 RULE",IF(COUNTIF(RULE_MAIN!$A:$A,I12)&gt;0,"ANY RULE","확정 RULE 필요"))))</x:f>
        <x:v>ANY RULE</x:v>
      </x:c>
      <x:c r="N12" s="6" t="str">
        <x:f t="shared" si="6"/>
      </x:c>
      <x:c r="O12" s="6" t="str">
        <x:f t="shared" si="7"/>
      </x:c>
    </x:row>
    <x:row r="13">
      <x:c r="A13" s="2" t="s">
        <x:v>32</x:v>
      </x:c>
      <x:c r="B13" s="2">
        <x:v>1</x:v>
      </x:c>
      <x:c r="C13" s="2" t="s">
        <x:v>34</x:v>
      </x:c>
      <x:c r="D13" s="2" t="s">
        <x:v>21</x:v>
      </x:c>
      <x:c r="E13" s="3" t="str">
        <x:f t="shared" si="0"/>
        <x:v>BOC</x:v>
      </x:c>
      <x:c r="F13" s="3" t="str">
        <x:f t="shared" si="1"/>
        <x:v>411-512</x:v>
      </x:c>
      <x:c r="G13" s="3" t="str">
        <x:f t="shared" si="2"/>
        <x:v>CENTER</x:v>
      </x:c>
      <x:c r="H13" s="3" t="str">
        <x:f t="shared" si="3"/>
        <x:v>BOC|1|411-512|CENTER</x:v>
      </x:c>
      <x:c r="I13" s="3" t="str">
        <x:f t="shared" si="4"/>
        <x:v>BOC|1|411-512|ANY</x:v>
      </x:c>
      <x:c r="J13" s="3" t="str">
        <x:f t="shared" si="5"/>
        <x:v>BOC05371C00-008|1|411-512|CENTER</x:v>
      </x:c>
      <x:c r="K13" s="4" t="str">
        <x:f>IF(A13="","",IFERROR(VLOOKUP(J13,MGMT_RULE!$A:$G,7,FALSE),IFERROR(VLOOKUP(H13,RULE_MAIN!$A:$F,6,FALSE),IFERROR(VLOOKUP(I13,RULE_MAIN!$A:$F,6,FALSE),"관리자 확인"))))</x:f>
        <x:v>ST-BOC-500(411-512)2R</x:v>
      </x:c>
      <x:c r="L13" s="5" t="str">
        <x:f>IF(A13="","",IF(K13="관리자 확인","DNC 차단",IF(ISNUMBER(SEARCH("후보",K13)),"관리자 확인",IFERROR(IF(MATCH(K13,PG_LIST!$A:$A,0)&gt;0,"DNC 가능","Program 파일 없음"),"Program 파일 없음"))))</x:f>
        <x:v>DNC 가능</x:v>
      </x:c>
      <x:c r="M13" s="6" t="str">
        <x:f>IF(A13="","",IF(COUNTIF(MGMT_RULE!$A:$A,J13)&gt;0,"관리번호 전용 RULE",IF(COUNTIF(RULE_MAIN!$A:$A,H13)&gt;0,"정확 RULE",IF(COUNTIF(RULE_MAIN!$A:$A,I13)&gt;0,"ANY RULE","확정 RULE 필요"))))</x:f>
        <x:v>ANY RULE</x:v>
      </x:c>
      <x:c r="N13" s="6" t="str">
        <x:f t="shared" si="6"/>
      </x:c>
      <x:c r="O13" s="6" t="str">
        <x:f t="shared" si="7"/>
      </x:c>
    </x:row>
    <x:row r="14">
      <x:c r="A14" s="2" t="s">
        <x:v>35</x:v>
      </x:c>
      <x:c r="B14" s="2">
        <x:v>2</x:v>
      </x:c>
      <x:c r="C14" s="2" t="s">
        <x:v>34</x:v>
      </x:c>
      <x:c r="D14" s="2" t="s">
        <x:v>36</x:v>
      </x:c>
      <x:c r="E14" s="3" t="str">
        <x:f t="shared" si="0"/>
        <x:v>MCP</x:v>
      </x:c>
      <x:c r="F14" s="3" t="str">
        <x:f t="shared" si="1"/>
        <x:v>411-512</x:v>
      </x:c>
      <x:c r="G14" s="3" t="str">
        <x:f t="shared" si="2"/>
        <x:v>방향홀</x:v>
      </x:c>
      <x:c r="H14" s="3" t="str">
        <x:f t="shared" si="3"/>
        <x:v>MCP|2|411-512|방향홀</x:v>
      </x:c>
      <x:c r="I14" s="3" t="str">
        <x:f t="shared" si="4"/>
        <x:v>MCP|2|411-512|ANY</x:v>
      </x:c>
      <x:c r="J14" s="3" t="str">
        <x:f t="shared" si="5"/>
        <x:v>MCP20181A00-006|2|411-512|방향홀</x:v>
      </x:c>
      <x:c r="K14" s="4" t="str">
        <x:f>IF(A14="","",IFERROR(VLOOKUP(J14,MGMT_RULE!$A:$G,7,FALSE),IFERROR(VLOOKUP(H14,RULE_MAIN!$A:$F,6,FALSE),IFERROR(VLOOKUP(I14,RULE_MAIN!$A:$F,6,FALSE),"관리자 확인"))))</x:f>
        <x:v>ST-3Layer-500+4Hole(411-512)_2R_2_2024 T01 T02 test</x:v>
      </x:c>
      <x:c r="L14" s="5" t="str">
        <x:f>IF(A14="","",IF(K14="관리자 확인","DNC 차단",IF(ISNUMBER(SEARCH("후보",K14)),"관리자 확인",IFERROR(IF(MATCH(K14,PG_LIST!$A:$A,0)&gt;0,"DNC 가능","Program 파일 없음"),"Program 파일 없음"))))</x:f>
        <x:v>DNC 가능</x:v>
      </x:c>
      <x:c r="M14" s="6" t="str">
        <x:f>IF(A14="","",IF(COUNTIF(MGMT_RULE!$A:$A,J14)&gt;0,"관리번호 전용 RULE",IF(COUNTIF(RULE_MAIN!$A:$A,H14)&gt;0,"정확 RULE",IF(COUNTIF(RULE_MAIN!$A:$A,I14)&gt;0,"ANY RULE","확정 RULE 필요"))))</x:f>
        <x:v>ANY RULE</x:v>
      </x:c>
      <x:c r="N14" s="6" t="str">
        <x:f t="shared" si="6"/>
      </x:c>
      <x:c r="O14" s="6" t="str">
        <x:f t="shared" si="7"/>
      </x:c>
    </x:row>
    <x:row r="15">
      <x:c r="A15" s="2" t="s">
        <x:v>33</x:v>
      </x:c>
      <x:c r="B15" s="2">
        <x:v>2</x:v>
      </x:c>
      <x:c r="C15" s="2" t="s">
        <x:v>18</x:v>
      </x:c>
      <x:c r="D15" s="2" t="s">
        <x:v>37</x:v>
      </x:c>
      <x:c r="E15" s="3" t="str">
        <x:f t="shared" si="0"/>
        <x:v>MCP</x:v>
      </x:c>
      <x:c r="F15" s="3" t="str">
        <x:f t="shared" si="1"/>
        <x:v>411-512</x:v>
      </x:c>
      <x:c r="G15" s="3" t="str">
        <x:f t="shared" si="2"/>
        <x:v>CENTER</x:v>
      </x:c>
      <x:c r="H15" s="3" t="str">
        <x:f t="shared" si="3"/>
        <x:v>MCP|2|411-512|CENTER</x:v>
      </x:c>
      <x:c r="I15" s="3" t="str">
        <x:f t="shared" si="4"/>
        <x:v>MCP|2|411-512|ANY</x:v>
      </x:c>
      <x:c r="J15" s="3" t="str">
        <x:f t="shared" si="5"/>
        <x:v>MCP18371H00-010|2|411-512|CENTER</x:v>
      </x:c>
      <x:c r="K15" s="4" t="str">
        <x:f>IF(A15="","",IFERROR(VLOOKUP(J15,MGMT_RULE!$A:$G,7,FALSE),IFERROR(VLOOKUP(H15,RULE_MAIN!$A:$F,6,FALSE),IFERROR(VLOOKUP(I15,RULE_MAIN!$A:$F,6,FALSE),"관리자 확인"))))</x:f>
        <x:v>ST-3Layer-500+4Hole(411-512)_2R_2_2024 T01 T02 test</x:v>
      </x:c>
      <x:c r="L15" s="5" t="str">
        <x:f>IF(A15="","",IF(K15="관리자 확인","DNC 차단",IF(ISNUMBER(SEARCH("후보",K15)),"관리자 확인",IFERROR(IF(MATCH(K15,PG_LIST!$A:$A,0)&gt;0,"DNC 가능","Program 파일 없음"),"Program 파일 없음"))))</x:f>
        <x:v>DNC 가능</x:v>
      </x:c>
      <x:c r="M15" s="6" t="str">
        <x:f>IF(A15="","",IF(COUNTIF(MGMT_RULE!$A:$A,J15)&gt;0,"관리번호 전용 RULE",IF(COUNTIF(RULE_MAIN!$A:$A,H15)&gt;0,"정확 RULE",IF(COUNTIF(RULE_MAIN!$A:$A,I15)&gt;0,"ANY RULE","확정 RULE 필요"))))</x:f>
        <x:v>ANY RULE</x:v>
      </x:c>
      <x:c r="N15" s="6" t="str">
        <x:f t="shared" si="6"/>
      </x:c>
      <x:c r="O15" s="6" t="str">
        <x:f t="shared" si="7"/>
      </x:c>
    </x:row>
    <x:row r="16">
      <x:c r="A16" s="2" t="s">
        <x:v>38</x:v>
      </x:c>
      <x:c r="B16" s="2">
        <x:v>1</x:v>
      </x:c>
      <x:c r="C16" s="2" t="s">
        <x:v>18</x:v>
      </x:c>
      <x:c r="D16" s="2" t="s">
        <x:v>21</x:v>
      </x:c>
      <x:c r="E16" s="3" t="str">
        <x:f t="shared" si="0"/>
        <x:v>MCP</x:v>
      </x:c>
      <x:c r="F16" s="3" t="str">
        <x:f t="shared" si="1"/>
        <x:v>411-512</x:v>
      </x:c>
      <x:c r="G16" s="3" t="str">
        <x:f t="shared" si="2"/>
        <x:v>CENTER</x:v>
      </x:c>
      <x:c r="H16" s="3" t="str">
        <x:f t="shared" si="3"/>
        <x:v>MCP|1|411-512|CENTER</x:v>
      </x:c>
      <x:c r="I16" s="3" t="str">
        <x:f t="shared" si="4"/>
        <x:v>MCP|1|411-512|ANY</x:v>
      </x:c>
      <x:c r="J16" s="3" t="str">
        <x:f t="shared" si="5"/>
        <x:v>MCP18446A00-014|1|411-512|CENTER</x:v>
      </x:c>
      <x:c r="K16" s="4" t="str">
        <x:f>IF(A16="","",IFERROR(VLOOKUP(J16,MGMT_RULE!$A:$G,7,FALSE),IFERROR(VLOOKUP(H16,RULE_MAIN!$A:$F,6,FALSE),IFERROR(VLOOKUP(I16,RULE_MAIN!$A:$F,6,FALSE),"관리자 확인"))))</x:f>
        <x:v>ST-BOC-500(411-512)2R</x:v>
      </x:c>
      <x:c r="L16" s="5" t="str">
        <x:f>IF(A16="","",IF(K16="관리자 확인","DNC 차단",IF(ISNUMBER(SEARCH("후보",K16)),"관리자 확인",IFERROR(IF(MATCH(K16,PG_LIST!$A:$A,0)&gt;0,"DNC 가능","Program 파일 없음"),"Program 파일 없음"))))</x:f>
        <x:v>DNC 가능</x:v>
      </x:c>
      <x:c r="M16" s="6" t="str">
        <x:f>IF(A16="","",IF(COUNTIF(MGMT_RULE!$A:$A,J16)&gt;0,"관리번호 전용 RULE",IF(COUNTIF(RULE_MAIN!$A:$A,H16)&gt;0,"정확 RULE",IF(COUNTIF(RULE_MAIN!$A:$A,I16)&gt;0,"ANY RULE","확정 RULE 필요"))))</x:f>
        <x:v>ANY RULE</x:v>
      </x:c>
      <x:c r="N16" s="6" t="str">
        <x:f t="shared" si="6"/>
      </x:c>
      <x:c r="O16" s="6" t="str">
        <x:f t="shared" si="7"/>
      </x:c>
    </x:row>
    <x:row r="17">
      <x:c r="A17" s="2" t="s">
        <x:v>25</x:v>
      </x:c>
      <x:c r="B17" s="2">
        <x:v>2</x:v>
      </x:c>
      <x:c r="C17" s="2" t="s">
        <x:v>18</x:v>
      </x:c>
      <x:c r="D17" s="2" t="s">
        <x:v>39</x:v>
      </x:c>
      <x:c r="E17" s="3" t="str">
        <x:f t="shared" si="0"/>
        <x:v>FLC</x:v>
      </x:c>
      <x:c r="F17" s="3" t="str">
        <x:f t="shared" si="1"/>
        <x:v>411-512</x:v>
      </x:c>
      <x:c r="G17" s="3" t="str">
        <x:f t="shared" si="2"/>
        <x:v>CENTER</x:v>
      </x:c>
      <x:c r="H17" s="3" t="str">
        <x:f t="shared" si="3"/>
        <x:v>FLC|2|411-512|CENTER</x:v>
      </x:c>
      <x:c r="I17" s="3" t="str">
        <x:f t="shared" si="4"/>
        <x:v>FLC|2|411-512|ANY</x:v>
      </x:c>
      <x:c r="J17" s="3" t="str">
        <x:f t="shared" si="5"/>
        <x:v>FLC10340B00-007|2|411-512|CENTER</x:v>
      </x:c>
      <x:c r="K17" s="4" t="str">
        <x:f>IF(A17="","",IFERROR(VLOOKUP(J17,MGMT_RULE!$A:$G,7,FALSE),IFERROR(VLOOKUP(H17,RULE_MAIN!$A:$F,6,FALSE),IFERROR(VLOOKUP(I17,RULE_MAIN!$A:$F,6,FALSE),"관리자 확인"))))</x:f>
        <x:v>06-OUT_(411-512)2R(New)</x:v>
      </x:c>
      <x:c r="L17" s="5" t="str">
        <x:f>IF(A17="","",IF(K17="관리자 확인","DNC 차단",IF(ISNUMBER(SEARCH("후보",K17)),"관리자 확인",IFERROR(IF(MATCH(K17,PG_LIST!$A:$A,0)&gt;0,"DNC 가능","Program 파일 없음"),"Program 파일 없음"))))</x:f>
        <x:v>DNC 가능</x:v>
      </x:c>
      <x:c r="M17" s="6" t="str">
        <x:f>IF(A17="","",IF(COUNTIF(MGMT_RULE!$A:$A,J17)&gt;0,"관리번호 전용 RULE",IF(COUNTIF(RULE_MAIN!$A:$A,H17)&gt;0,"정확 RULE",IF(COUNTIF(RULE_MAIN!$A:$A,I17)&gt;0,"ANY RULE","확정 RULE 필요"))))</x:f>
        <x:v>관리번호 전용 RULE</x:v>
      </x:c>
      <x:c r="N17" s="6" t="str">
        <x:f t="shared" si="6"/>
      </x:c>
      <x:c r="O17" s="6" t="str">
        <x:f t="shared" si="7"/>
      </x:c>
    </x:row>
    <x:row r="18">
      <x:c r="A18" s="2" t="s">
        <x:v>40</x:v>
      </x:c>
      <x:c r="B18" s="2">
        <x:v>2</x:v>
      </x:c>
      <x:c r="C18" s="2" t="s">
        <x:v>31</x:v>
      </x:c>
      <x:c r="D18" s="2" t="s">
        <x:v>41</x:v>
      </x:c>
      <x:c r="E18" s="3" t="str">
        <x:f t="shared" si="0"/>
        <x:v>MCP</x:v>
      </x:c>
      <x:c r="F18" s="3" t="str">
        <x:f t="shared" si="1"/>
        <x:v>415-516</x:v>
      </x:c>
      <x:c r="G18" s="3" t="str">
        <x:f t="shared" si="2"/>
        <x:v>우측10mm</x:v>
      </x:c>
      <x:c r="H18" s="3" t="str">
        <x:f t="shared" si="3"/>
        <x:v>MCP|2|415-516|우측10mm</x:v>
      </x:c>
      <x:c r="I18" s="3" t="str">
        <x:f t="shared" si="4"/>
        <x:v>MCP|2|415-516|ANY</x:v>
      </x:c>
      <x:c r="J18" s="3" t="str">
        <x:f t="shared" si="5"/>
        <x:v>MCP24317A00-008|2|415-516|우측10mm</x:v>
      </x:c>
      <x:c r="K18" s="4" t="str">
        <x:f>IF(A18="","",IFERROR(VLOOKUP(J18,MGMT_RULE!$A:$G,7,FALSE),IFERROR(VLOOKUP(H18,RULE_MAIN!$A:$F,6,FALSE),IFERROR(VLOOKUP(I18,RULE_MAIN!$A:$F,6,FALSE),"관리자 확인"))))</x:f>
        <x:v>관리자 확인</x:v>
      </x:c>
      <x:c r="L18" s="5" t="str">
        <x:f>IF(A18="","",IF(K18="관리자 확인","DNC 차단",IF(ISNUMBER(SEARCH("후보",K18)),"관리자 확인",IFERROR(IF(MATCH(K18,PG_LIST!$A:$A,0)&gt;0,"DNC 가능","Program 파일 없음"),"Program 파일 없음"))))</x:f>
        <x:v>DNC 차단</x:v>
      </x:c>
      <x:c r="M18" s="6" t="str">
        <x:f>IF(A18="","",IF(COUNTIF(MGMT_RULE!$A:$A,J18)&gt;0,"관리번호 전용 RULE",IF(COUNTIF(RULE_MAIN!$A:$A,H18)&gt;0,"정확 RULE",IF(COUNTIF(RULE_MAIN!$A:$A,I18)&gt;0,"ANY RULE","확정 RULE 필요"))))</x:f>
        <x:v>확정 RULE 필요</x:v>
      </x:c>
      <x:c r="N18" s="6" t="str">
        <x:f t="shared" si="6"/>
        <x:v>조건 미등록</x:v>
      </x:c>
      <x:c r="O18" s="6" t="str">
        <x:f t="shared" si="7"/>
      </x:c>
      <x:c r="P18" s="9" t="s">
        <x:v>42</x:v>
      </x:c>
    </x:row>
    <x:row r="19">
      <x:c r="A19" s="2" t="s">
        <x:v>43</x:v>
      </x:c>
      <x:c r="B19" s="2">
        <x:v>1</x:v>
      </x:c>
      <x:c r="C19" s="2" t="s">
        <x:v>18</x:v>
      </x:c>
      <x:c r="D19" s="2" t="s">
        <x:v>44</x:v>
      </x:c>
      <x:c r="E19" s="3" t="str">
        <x:f t="shared" si="0"/>
        <x:v>MCP</x:v>
      </x:c>
      <x:c r="F19" s="3" t="str">
        <x:f t="shared" si="1"/>
        <x:v>411-512</x:v>
      </x:c>
      <x:c r="G19" s="3" t="str">
        <x:f t="shared" si="2"/>
        <x:v>주의문구</x:v>
      </x:c>
      <x:c r="H19" s="3" t="str">
        <x:f t="shared" si="3"/>
        <x:v>MCP|1|411-512|주의문구</x:v>
      </x:c>
      <x:c r="I19" s="3" t="str">
        <x:f t="shared" si="4"/>
        <x:v>MCP|1|411-512|ANY</x:v>
      </x:c>
      <x:c r="J19" s="3" t="str">
        <x:f t="shared" si="5"/>
        <x:v>MCP23328A00-003|1|411-512|주의문구</x:v>
      </x:c>
      <x:c r="K19" s="4" t="str">
        <x:f>IF(A19="","",IFERROR(VLOOKUP(J19,MGMT_RULE!$A:$G,7,FALSE),IFERROR(VLOOKUP(H19,RULE_MAIN!$A:$F,6,FALSE),IFERROR(VLOOKUP(I19,RULE_MAIN!$A:$F,6,FALSE),"관리자 확인"))))</x:f>
        <x:v>ST-BOC-500(411-512)2R</x:v>
      </x:c>
      <x:c r="L19" s="5" t="str">
        <x:f>IF(A19="","",IF(K19="관리자 확인","DNC 차단",IF(ISNUMBER(SEARCH("후보",K19)),"관리자 확인",IFERROR(IF(MATCH(K19,PG_LIST!$A:$A,0)&gt;0,"DNC 가능","Program 파일 없음"),"Program 파일 없음"))))</x:f>
        <x:v>DNC 가능</x:v>
      </x:c>
      <x:c r="M19" s="6" t="str">
        <x:f>IF(A19="","",IF(COUNTIF(MGMT_RULE!$A:$A,J19)&gt;0,"관리번호 전용 RULE",IF(COUNTIF(RULE_MAIN!$A:$A,H19)&gt;0,"정확 RULE",IF(COUNTIF(RULE_MAIN!$A:$A,I19)&gt;0,"ANY RULE","확정 RULE 필요"))))</x:f>
        <x:v>ANY RULE</x:v>
      </x:c>
      <x:c r="N19" s="6" t="str">
        <x:f t="shared" si="6"/>
      </x:c>
      <x:c r="O19" s="6" t="str">
        <x:f t="shared" si="7"/>
      </x:c>
    </x:row>
    <x:row r="20">
      <x:c r="A20" s="2" t="s">
        <x:v>45</x:v>
      </x:c>
      <x:c r="B20" s="2">
        <x:v>1</x:v>
      </x:c>
      <x:c r="C20" s="2" t="s">
        <x:v>34</x:v>
      </x:c>
      <x:c r="D20" s="2" t="s">
        <x:v>21</x:v>
      </x:c>
      <x:c r="E20" s="3" t="str">
        <x:f t="shared" si="0"/>
        <x:v>MCP</x:v>
      </x:c>
      <x:c r="F20" s="3" t="str">
        <x:f t="shared" si="1"/>
        <x:v>411-512</x:v>
      </x:c>
      <x:c r="G20" s="3" t="str">
        <x:f t="shared" si="2"/>
        <x:v>CENTER</x:v>
      </x:c>
      <x:c r="H20" s="3" t="str">
        <x:f t="shared" si="3"/>
        <x:v>MCP|1|411-512|CENTER</x:v>
      </x:c>
      <x:c r="I20" s="3" t="str">
        <x:f t="shared" si="4"/>
        <x:v>MCP|1|411-512|ANY</x:v>
      </x:c>
      <x:c r="J20" s="3" t="str">
        <x:f t="shared" si="5"/>
        <x:v>MCP22313A00-013|1|411-512|CENTER</x:v>
      </x:c>
      <x:c r="K20" s="4" t="str">
        <x:f>IF(A20="","",IFERROR(VLOOKUP(J20,MGMT_RULE!$A:$G,7,FALSE),IFERROR(VLOOKUP(H20,RULE_MAIN!$A:$F,6,FALSE),IFERROR(VLOOKUP(I20,RULE_MAIN!$A:$F,6,FALSE),"관리자 확인"))))</x:f>
        <x:v>ST-BOC-500(411-512)2R</x:v>
      </x:c>
      <x:c r="L20" s="5" t="str">
        <x:f>IF(A20="","",IF(K20="관리자 확인","DNC 차단",IF(ISNUMBER(SEARCH("후보",K20)),"관리자 확인",IFERROR(IF(MATCH(K20,PG_LIST!$A:$A,0)&gt;0,"DNC 가능","Program 파일 없음"),"Program 파일 없음"))))</x:f>
        <x:v>DNC 가능</x:v>
      </x:c>
      <x:c r="M20" s="6" t="str">
        <x:f>IF(A20="","",IF(COUNTIF(MGMT_RULE!$A:$A,J20)&gt;0,"관리번호 전용 RULE",IF(COUNTIF(RULE_MAIN!$A:$A,H20)&gt;0,"정확 RULE",IF(COUNTIF(RULE_MAIN!$A:$A,I20)&gt;0,"ANY RULE","확정 RULE 필요"))))</x:f>
        <x:v>ANY RULE</x:v>
      </x:c>
      <x:c r="N20" s="6" t="str">
        <x:f t="shared" si="6"/>
      </x:c>
      <x:c r="O20" s="6" t="str">
        <x:f t="shared" si="7"/>
      </x:c>
    </x:row>
    <x:row r="21" ht="28.5">
      <x:c r="A21" s="2" t="s">
        <x:v>46</x:v>
      </x:c>
      <x:c r="B21" s="2">
        <x:v>2</x:v>
      </x:c>
      <x:c r="C21" s="2" t="s">
        <x:v>18</x:v>
      </x:c>
      <x:c r="D21" s="2" t="s">
        <x:v>47</x:v>
      </x:c>
      <x:c r="E21" s="3" t="str">
        <x:f t="shared" si="0"/>
        <x:v>MCP</x:v>
      </x:c>
      <x:c r="F21" s="3" t="str">
        <x:f t="shared" si="1"/>
        <x:v>411-512</x:v>
      </x:c>
      <x:c r="G21" s="3" t="str">
        <x:f t="shared" si="2"/>
        <x:v>방향홀</x:v>
      </x:c>
      <x:c r="H21" s="3" t="str">
        <x:f t="shared" si="3"/>
        <x:v>MCP|2|411-512|방향홀</x:v>
      </x:c>
      <x:c r="I21" s="3" t="str">
        <x:f t="shared" si="4"/>
        <x:v>MCP|2|411-512|ANY</x:v>
      </x:c>
      <x:c r="J21" s="3" t="str">
        <x:f t="shared" si="5"/>
        <x:v>MCP13515C00-026|2|411-512|방향홀</x:v>
      </x:c>
      <x:c r="K21" s="4" t="str">
        <x:f>IF(A21="","",IFERROR(VLOOKUP(J21,MGMT_RULE!$A:$G,7,FALSE),IFERROR(VLOOKUP(H21,RULE_MAIN!$A:$F,6,FALSE),IFERROR(VLOOKUP(I21,RULE_MAIN!$A:$F,6,FALSE),"관리자 확인"))))</x:f>
        <x:v>ST-3Layer-500+4Hole(411-512)_2R_2_2024 T01 T02 test</x:v>
      </x:c>
      <x:c r="L21" s="5" t="str">
        <x:f>IF(A21="","",IF(K21="관리자 확인","DNC 차단",IF(ISNUMBER(SEARCH("후보",K21)),"관리자 확인",IFERROR(IF(MATCH(K21,PG_LIST!$A:$A,0)&gt;0,"DNC 가능","Program 파일 없음"),"Program 파일 없음"))))</x:f>
        <x:v>DNC 가능</x:v>
      </x:c>
      <x:c r="M21" s="6" t="str">
        <x:f>IF(A21="","",IF(COUNTIF(MGMT_RULE!$A:$A,J21)&gt;0,"관리번호 전용 RULE",IF(COUNTIF(RULE_MAIN!$A:$A,H21)&gt;0,"정확 RULE",IF(COUNTIF(RULE_MAIN!$A:$A,I21)&gt;0,"ANY RULE","확정 RULE 필요"))))</x:f>
        <x:v>ANY RULE</x:v>
      </x:c>
      <x:c r="N21" s="6" t="str">
        <x:f t="shared" si="6"/>
      </x:c>
      <x:c r="O21" s="6" t="str">
        <x:f t="shared" si="7"/>
      </x:c>
    </x:row>
    <x:row r="22">
      <x:c r="A22" s="2"/>
      <x:c r="B22" s="2"/>
      <x:c r="C22" s="2"/>
      <x:c r="D22" s="2"/>
      <x:c r="E22" s="3" t="str">
        <x:f t="shared" si="0"/>
      </x:c>
      <x:c r="F22" s="3" t="str">
        <x:f t="shared" si="1"/>
      </x:c>
      <x:c r="G22" s="3" t="str">
        <x:f t="shared" si="2"/>
        <x:v>OMS2 확인</x:v>
      </x:c>
      <x:c r="H22" s="3" t="str">
        <x:f t="shared" si="3"/>
      </x:c>
      <x:c r="I22" s="3" t="str">
        <x:f t="shared" si="4"/>
      </x:c>
      <x:c r="J22" s="3" t="str">
        <x:f t="shared" si="5"/>
      </x:c>
      <x:c r="K22" s="4" t="str">
        <x:f>IF(A22="","",IFERROR(VLOOKUP(J22,MGMT_RULE!$A:$G,7,FALSE),IFERROR(VLOOKUP(H22,RULE_MAIN!$A:$F,6,FALSE),IFERROR(VLOOKUP(I22,RULE_MAIN!$A:$F,6,FALSE),"관리자 확인"))))</x:f>
      </x:c>
      <x:c r="L22" s="5" t="str">
        <x:f>IF(A22="","",IF(K22="관리자 확인","DNC 차단",IF(ISNUMBER(SEARCH("후보",K22)),"관리자 확인",IFERROR(IF(MATCH(K22,PG_LIST!$A:$A,0)&gt;0,"DNC 가능","Program 파일 없음"),"Program 파일 없음"))))</x:f>
      </x:c>
      <x:c r="M22" s="6" t="str">
        <x:f>IF(A22="","",IF(COUNTIF(MGMT_RULE!$A:$A,J22)&gt;0,"관리번호 전용 RULE",IF(COUNTIF(RULE_MAIN!$A:$A,H22)&gt;0,"정확 RULE",IF(COUNTIF(RULE_MAIN!$A:$A,I22)&gt;0,"ANY RULE","확정 RULE 필요"))))</x:f>
      </x:c>
      <x:c r="N22" s="6" t="str">
        <x:f t="shared" si="6"/>
      </x:c>
      <x:c r="O22" s="6" t="str">
        <x:f t="shared" si="7"/>
      </x:c>
    </x:row>
    <x:row r="23">
      <x:c r="A23" s="2"/>
      <x:c r="B23" s="2"/>
      <x:c r="C23" s="2"/>
      <x:c r="D23" s="2"/>
      <x:c r="E23" s="3" t="str">
        <x:f t="shared" si="0"/>
      </x:c>
      <x:c r="F23" s="3" t="str">
        <x:f t="shared" si="1"/>
      </x:c>
      <x:c r="G23" s="3" t="str">
        <x:f t="shared" si="2"/>
        <x:v>OMS2 확인</x:v>
      </x:c>
      <x:c r="H23" s="3" t="str">
        <x:f t="shared" si="3"/>
      </x:c>
      <x:c r="I23" s="3" t="str">
        <x:f t="shared" si="4"/>
      </x:c>
      <x:c r="J23" s="3" t="str">
        <x:f t="shared" si="5"/>
      </x:c>
      <x:c r="K23" s="4" t="str">
        <x:f>IF(A23="","",IFERROR(VLOOKUP(J23,MGMT_RULE!$A:$G,7,FALSE),IFERROR(VLOOKUP(H23,RULE_MAIN!$A:$F,6,FALSE),IFERROR(VLOOKUP(I23,RULE_MAIN!$A:$F,6,FALSE),"관리자 확인"))))</x:f>
      </x:c>
      <x:c r="L23" s="5" t="str">
        <x:f>IF(A23="","",IF(K23="관리자 확인","DNC 차단",IF(ISNUMBER(SEARCH("후보",K23)),"관리자 확인",IFERROR(IF(MATCH(K23,PG_LIST!$A:$A,0)&gt;0,"DNC 가능","Program 파일 없음"),"Program 파일 없음"))))</x:f>
      </x:c>
      <x:c r="M23" s="6" t="str">
        <x:f>IF(A23="","",IF(COUNTIF(MGMT_RULE!$A:$A,J23)&gt;0,"관리번호 전용 RULE",IF(COUNTIF(RULE_MAIN!$A:$A,H23)&gt;0,"정확 RULE",IF(COUNTIF(RULE_MAIN!$A:$A,I23)&gt;0,"ANY RULE","확정 RULE 필요"))))</x:f>
      </x:c>
      <x:c r="N23" s="6" t="str">
        <x:f t="shared" si="6"/>
      </x:c>
      <x:c r="O23" s="6" t="str">
        <x:f t="shared" si="7"/>
      </x:c>
    </x:row>
    <x:row r="24">
      <x:c r="A24" s="2"/>
      <x:c r="B24" s="2"/>
      <x:c r="C24" s="2"/>
      <x:c r="D24" s="2"/>
      <x:c r="E24" s="3" t="str">
        <x:f t="shared" si="0"/>
      </x:c>
      <x:c r="F24" s="3" t="str">
        <x:f t="shared" si="1"/>
      </x:c>
      <x:c r="G24" s="3" t="str">
        <x:f t="shared" si="2"/>
        <x:v>OMS2 확인</x:v>
      </x:c>
      <x:c r="H24" s="3" t="str">
        <x:f t="shared" si="3"/>
      </x:c>
      <x:c r="I24" s="3" t="str">
        <x:f t="shared" si="4"/>
      </x:c>
      <x:c r="J24" s="3" t="str">
        <x:f t="shared" si="5"/>
      </x:c>
      <x:c r="K24" s="4" t="str">
        <x:f>IF(A24="","",IFERROR(VLOOKUP(J24,MGMT_RULE!$A:$G,7,FALSE),IFERROR(VLOOKUP(H24,RULE_MAIN!$A:$F,6,FALSE),IFERROR(VLOOKUP(I24,RULE_MAIN!$A:$F,6,FALSE),"관리자 확인"))))</x:f>
      </x:c>
      <x:c r="L24" s="5" t="str">
        <x:f>IF(A24="","",IF(K24="관리자 확인","DNC 차단",IF(ISNUMBER(SEARCH("후보",K24)),"관리자 확인",IFERROR(IF(MATCH(K24,PG_LIST!$A:$A,0)&gt;0,"DNC 가능","Program 파일 없음"),"Program 파일 없음"))))</x:f>
      </x:c>
      <x:c r="M24" s="6" t="str">
        <x:f>IF(A24="","",IF(COUNTIF(MGMT_RULE!$A:$A,J24)&gt;0,"관리번호 전용 RULE",IF(COUNTIF(RULE_MAIN!$A:$A,H24)&gt;0,"정확 RULE",IF(COUNTIF(RULE_MAIN!$A:$A,I24)&gt;0,"ANY RULE","확정 RULE 필요"))))</x:f>
      </x:c>
      <x:c r="N24" s="6" t="str">
        <x:f t="shared" si="6"/>
      </x:c>
      <x:c r="O24" s="6" t="str">
        <x:f t="shared" si="7"/>
      </x:c>
    </x:row>
    <x:row r="25">
      <x:c r="A25" s="2"/>
      <x:c r="B25" s="2"/>
      <x:c r="C25" s="2"/>
      <x:c r="D25" s="2"/>
      <x:c r="E25" s="3" t="str">
        <x:f t="shared" si="0"/>
      </x:c>
      <x:c r="F25" s="3" t="str">
        <x:f t="shared" si="1"/>
      </x:c>
      <x:c r="G25" s="3" t="str">
        <x:f t="shared" si="2"/>
        <x:v>OMS2 확인</x:v>
      </x:c>
      <x:c r="H25" s="3" t="str">
        <x:f t="shared" si="3"/>
      </x:c>
      <x:c r="I25" s="3" t="str">
        <x:f t="shared" si="4"/>
      </x:c>
      <x:c r="J25" s="3" t="str">
        <x:f t="shared" si="5"/>
      </x:c>
      <x:c r="K25" s="4" t="str">
        <x:f>IF(A25="","",IFERROR(VLOOKUP(J25,MGMT_RULE!$A:$G,7,FALSE),IFERROR(VLOOKUP(H25,RULE_MAIN!$A:$F,6,FALSE),IFERROR(VLOOKUP(I25,RULE_MAIN!$A:$F,6,FALSE),"관리자 확인"))))</x:f>
      </x:c>
      <x:c r="L25" s="5" t="str">
        <x:f>IF(A25="","",IF(K25="관리자 확인","DNC 차단",IF(ISNUMBER(SEARCH("후보",K25)),"관리자 확인",IFERROR(IF(MATCH(K25,PG_LIST!$A:$A,0)&gt;0,"DNC 가능","Program 파일 없음"),"Program 파일 없음"))))</x:f>
      </x:c>
      <x:c r="M25" s="6" t="str">
        <x:f>IF(A25="","",IF(COUNTIF(MGMT_RULE!$A:$A,J25)&gt;0,"관리번호 전용 RULE",IF(COUNTIF(RULE_MAIN!$A:$A,H25)&gt;0,"정확 RULE",IF(COUNTIF(RULE_MAIN!$A:$A,I25)&gt;0,"ANY RULE","확정 RULE 필요"))))</x:f>
      </x:c>
      <x:c r="N25" s="6" t="str">
        <x:f t="shared" si="6"/>
      </x:c>
      <x:c r="O25" s="6" t="str">
        <x:f t="shared" si="7"/>
      </x:c>
    </x:row>
    <x:row r="26">
      <x:c r="A26" s="2" t="s">
        <x:v>48</x:v>
      </x:c>
      <x:c r="B26" s="2">
        <x:v>2</x:v>
      </x:c>
      <x:c r="C26" s="2" t="s">
        <x:v>18</x:v>
      </x:c>
      <x:c r="D26" s="2" t="s">
        <x:v>19</x:v>
      </x:c>
      <x:c r="E26" s="3" t="str">
        <x:f t="shared" si="0"/>
        <x:v>MCP</x:v>
      </x:c>
      <x:c r="F26" s="3" t="str">
        <x:f t="shared" si="1"/>
        <x:v>411-512</x:v>
      </x:c>
      <x:c r="G26" s="3" t="str">
        <x:f t="shared" si="2"/>
        <x:v>방향홀</x:v>
      </x:c>
      <x:c r="H26" s="3" t="str">
        <x:f t="shared" si="3"/>
        <x:v>MCP|2|411-512|방향홀</x:v>
      </x:c>
      <x:c r="I26" s="3" t="str">
        <x:f t="shared" si="4"/>
        <x:v>MCP|2|411-512|ANY</x:v>
      </x:c>
      <x:c r="J26" s="3" t="str">
        <x:f t="shared" si="5"/>
        <x:v>MCP22660A00-005|2|411-512|방향홀</x:v>
      </x:c>
      <x:c r="K26" s="4" t="str">
        <x:f>IF(A26="","",IFERROR(VLOOKUP(J26,MGMT_RULE!$A:$G,7,FALSE),IFERROR(VLOOKUP(H26,RULE_MAIN!$A:$F,6,FALSE),IFERROR(VLOOKUP(I26,RULE_MAIN!$A:$F,6,FALSE),"관리자 확인"))))</x:f>
        <x:v>ST-3Layer-500+4Hole(411-512)_2R_2_2024 T01 T02 test</x:v>
      </x:c>
      <x:c r="L26" s="5" t="str">
        <x:f>IF(A26="","",IF(K26="관리자 확인","DNC 차단",IF(ISNUMBER(SEARCH("후보",K26)),"관리자 확인",IFERROR(IF(MATCH(K26,PG_LIST!$A:$A,0)&gt;0,"DNC 가능","Program 파일 없음"),"Program 파일 없음"))))</x:f>
        <x:v>DNC 가능</x:v>
      </x:c>
      <x:c r="M26" s="6" t="str">
        <x:f>IF(A26="","",IF(COUNTIF(MGMT_RULE!$A:$A,J26)&gt;0,"관리번호 전용 RULE",IF(COUNTIF(RULE_MAIN!$A:$A,H26)&gt;0,"정확 RULE",IF(COUNTIF(RULE_MAIN!$A:$A,I26)&gt;0,"ANY RULE","확정 RULE 필요"))))</x:f>
        <x:v>ANY RULE</x:v>
      </x:c>
      <x:c r="N26" s="6" t="str">
        <x:f t="shared" si="6"/>
      </x:c>
      <x:c r="O26" s="6" t="str">
        <x:f t="shared" si="7"/>
      </x:c>
    </x:row>
    <x:row r="27" ht="28.5">
      <x:c r="A27" s="2" t="s">
        <x:v>22</x:v>
      </x:c>
      <x:c r="B27" s="2">
        <x:v>2</x:v>
      </x:c>
      <x:c r="C27" s="2" t="s">
        <x:v>23</x:v>
      </x:c>
      <x:c r="D27" s="2" t="s">
        <x:v>49</x:v>
      </x:c>
      <x:c r="E27" s="3" t="s">
        <x:v>50</x:v>
      </x:c>
      <x:c r="F27" s="3" t="str">
        <x:f t="shared" si="1"/>
        <x:v>415-515</x:v>
      </x:c>
      <x:c r="G27" s="3" t="str">
        <x:f t="shared" si="2"/>
        <x:v>방향홀</x:v>
      </x:c>
      <x:c r="H27" s="3" t="str">
        <x:f t="shared" si="3"/>
        <x:v>ST-03L-500(415-515)2R|2|415-515|방향홀</x:v>
      </x:c>
      <x:c r="I27" s="3" t="str">
        <x:f t="shared" si="4"/>
        <x:v>ST-03L-500(415-515)2R|2|415-515|ANY</x:v>
      </x:c>
      <x:c r="J27" s="3" t="str">
        <x:f t="shared" si="5"/>
        <x:v>MCP21815C00-013|2|415-515|방향홀</x:v>
      </x:c>
      <x:c r="K27" s="4" t="str">
        <x:f>IF(A27="","",IFERROR(VLOOKUP(J27,MGMT_RULE!$A:$G,7,FALSE),IFERROR(VLOOKUP(H27,RULE_MAIN!$A:$F,6,FALSE),IFERROR(VLOOKUP(I27,RULE_MAIN!$A:$F,6,FALSE),"관리자 확인"))))</x:f>
        <x:v>ST-03L-500(415-515)2R</x:v>
      </x:c>
      <x:c r="L27" s="5" t="str">
        <x:f>IF(A27="","",IF(K27="관리자 확인","DNC 차단",IF(ISNUMBER(SEARCH("후보",K27)),"관리자 확인",IFERROR(IF(MATCH(K27,PG_LIST!$A:$A,0)&gt;0,"DNC 가능","Program 파일 없음"),"Program 파일 없음"))))</x:f>
        <x:v>DNC 가능</x:v>
      </x:c>
      <x:c r="M27" s="6" t="str">
        <x:f>IF(A27="","",IF(COUNTIF(MGMT_RULE!$A:$A,J27)&gt;0,"관리번호 전용 RULE",IF(COUNTIF(RULE_MAIN!$A:$A,H27)&gt;0,"정확 RULE",IF(COUNTIF(RULE_MAIN!$A:$A,I27)&gt;0,"ANY RULE","확정 RULE 필요"))))</x:f>
        <x:v>관리번호 전용 RULE</x:v>
      </x:c>
      <x:c r="N27" s="6" t="str">
        <x:f t="shared" si="6"/>
        <x:v>조건 미등록</x:v>
      </x:c>
      <x:c r="O27" s="6" t="str">
        <x:f t="shared" si="7"/>
      </x:c>
      <x:c r="P27" s="10" t="s">
        <x:v>50</x:v>
      </x:c>
    </x:row>
    <x:row r="28">
      <x:c r="A28" s="2" t="s">
        <x:v>51</x:v>
      </x:c>
      <x:c r="B28" s="2">
        <x:v>1</x:v>
      </x:c>
      <x:c r="C28" s="2" t="s">
        <x:v>18</x:v>
      </x:c>
      <x:c r="D28" s="2" t="s">
        <x:v>21</x:v>
      </x:c>
      <x:c r="E28" s="3" t="str">
        <x:f t="shared" si="0"/>
        <x:v>MCP</x:v>
      </x:c>
      <x:c r="F28" s="3" t="str">
        <x:f t="shared" si="1"/>
        <x:v>411-512</x:v>
      </x:c>
      <x:c r="G28" s="3" t="str">
        <x:f t="shared" si="2"/>
        <x:v>CENTER</x:v>
      </x:c>
      <x:c r="H28" s="3" t="str">
        <x:f t="shared" si="3"/>
        <x:v>MCP|1|411-512|CENTER</x:v>
      </x:c>
      <x:c r="I28" s="3" t="str">
        <x:f t="shared" si="4"/>
        <x:v>MCP|1|411-512|ANY</x:v>
      </x:c>
      <x:c r="J28" s="3" t="str">
        <x:f t="shared" si="5"/>
        <x:v>MCP21074B00-006|1|411-512|CENTER</x:v>
      </x:c>
      <x:c r="K28" s="4" t="str">
        <x:f>IF(A28="","",IFERROR(VLOOKUP(J28,MGMT_RULE!$A:$G,7,FALSE),IFERROR(VLOOKUP(H28,RULE_MAIN!$A:$F,6,FALSE),IFERROR(VLOOKUP(I28,RULE_MAIN!$A:$F,6,FALSE),"관리자 확인"))))</x:f>
        <x:v>ST-BOC-500(411-512)2R</x:v>
      </x:c>
      <x:c r="L28" s="5" t="str">
        <x:f>IF(A28="","",IF(K28="관리자 확인","DNC 차단",IF(ISNUMBER(SEARCH("후보",K28)),"관리자 확인",IFERROR(IF(MATCH(K28,PG_LIST!$A:$A,0)&gt;0,"DNC 가능","Program 파일 없음"),"Program 파일 없음"))))</x:f>
        <x:v>DNC 가능</x:v>
      </x:c>
      <x:c r="M28" s="6" t="str">
        <x:f>IF(A28="","",IF(COUNTIF(MGMT_RULE!$A:$A,J28)&gt;0,"관리번호 전용 RULE",IF(COUNTIF(RULE_MAIN!$A:$A,H28)&gt;0,"정확 RULE",IF(COUNTIF(RULE_MAIN!$A:$A,I28)&gt;0,"ANY RULE","확정 RULE 필요"))))</x:f>
        <x:v>ANY RULE</x:v>
      </x:c>
      <x:c r="N28" s="6" t="str">
        <x:f t="shared" si="6"/>
      </x:c>
      <x:c r="O28" s="6" t="str">
        <x:f t="shared" si="7"/>
      </x:c>
    </x:row>
    <x:row r="29">
      <x:c r="A29" s="2" t="s">
        <x:v>52</x:v>
      </x:c>
      <x:c r="B29" s="2">
        <x:v>1</x:v>
      </x:c>
      <x:c r="C29" s="2" t="s">
        <x:v>18</x:v>
      </x:c>
      <x:c r="D29" s="2" t="s">
        <x:v>21</x:v>
      </x:c>
      <x:c r="E29" s="3" t="str">
        <x:f t="shared" si="0"/>
        <x:v>MCP</x:v>
      </x:c>
      <x:c r="F29" s="3" t="str">
        <x:f t="shared" si="1"/>
        <x:v>411-512</x:v>
      </x:c>
      <x:c r="G29" s="3" t="str">
        <x:f t="shared" si="2"/>
        <x:v>CENTER</x:v>
      </x:c>
      <x:c r="H29" s="3" t="str">
        <x:f t="shared" si="3"/>
        <x:v>MCP|1|411-512|CENTER</x:v>
      </x:c>
      <x:c r="I29" s="3" t="str">
        <x:f t="shared" si="4"/>
        <x:v>MCP|1|411-512|ANY</x:v>
      </x:c>
      <x:c r="J29" s="3" t="str">
        <x:f t="shared" si="5"/>
        <x:v>MCP22856A00-006|1|411-512|CENTER</x:v>
      </x:c>
      <x:c r="K29" s="4" t="str">
        <x:f>IF(A29="","",IFERROR(VLOOKUP(J29,MGMT_RULE!$A:$G,7,FALSE),IFERROR(VLOOKUP(H29,RULE_MAIN!$A:$F,6,FALSE),IFERROR(VLOOKUP(I29,RULE_MAIN!$A:$F,6,FALSE),"관리자 확인"))))</x:f>
        <x:v>ST-BOC-500(411-512)2R</x:v>
      </x:c>
      <x:c r="L29" s="5" t="str">
        <x:f>IF(A29="","",IF(K29="관리자 확인","DNC 차단",IF(ISNUMBER(SEARCH("후보",K29)),"관리자 확인",IFERROR(IF(MATCH(K29,PG_LIST!$A:$A,0)&gt;0,"DNC 가능","Program 파일 없음"),"Program 파일 없음"))))</x:f>
        <x:v>DNC 가능</x:v>
      </x:c>
      <x:c r="M29" s="6" t="str">
        <x:f>IF(A29="","",IF(COUNTIF(MGMT_RULE!$A:$A,J29)&gt;0,"관리번호 전용 RULE",IF(COUNTIF(RULE_MAIN!$A:$A,H29)&gt;0,"정확 RULE",IF(COUNTIF(RULE_MAIN!$A:$A,I29)&gt;0,"ANY RULE","확정 RULE 필요"))))</x:f>
        <x:v>ANY RULE</x:v>
      </x:c>
      <x:c r="N29" s="6" t="str">
        <x:f t="shared" si="6"/>
      </x:c>
      <x:c r="O29" s="6" t="str">
        <x:f t="shared" si="7"/>
      </x:c>
    </x:row>
    <x:row r="30">
      <x:c r="A30" s="2" t="s">
        <x:v>53</x:v>
      </x:c>
      <x:c r="B30" s="2">
        <x:v>1</x:v>
      </x:c>
      <x:c r="C30" s="2" t="s">
        <x:v>18</x:v>
      </x:c>
      <x:c r="D30" s="2" t="s">
        <x:v>21</x:v>
      </x:c>
      <x:c r="E30" s="3" t="str">
        <x:f t="shared" si="0"/>
        <x:v>MCP</x:v>
      </x:c>
      <x:c r="F30" s="3" t="str">
        <x:f t="shared" si="1"/>
        <x:v>411-512</x:v>
      </x:c>
      <x:c r="G30" s="3" t="str">
        <x:f t="shared" si="2"/>
        <x:v>CENTER</x:v>
      </x:c>
      <x:c r="H30" s="3" t="str">
        <x:f t="shared" si="3"/>
        <x:v>MCP|1|411-512|CENTER</x:v>
      </x:c>
      <x:c r="I30" s="3" t="str">
        <x:f t="shared" si="4"/>
        <x:v>MCP|1|411-512|ANY</x:v>
      </x:c>
      <x:c r="J30" s="3" t="str">
        <x:f t="shared" si="5"/>
        <x:v>MCP22396B00-001|1|411-512|CENTER</x:v>
      </x:c>
      <x:c r="K30" s="4" t="str">
        <x:f>IF(A30="","",IFERROR(VLOOKUP(J30,MGMT_RULE!$A:$G,7,FALSE),IFERROR(VLOOKUP(H30,RULE_MAIN!$A:$F,6,FALSE),IFERROR(VLOOKUP(I30,RULE_MAIN!$A:$F,6,FALSE),"관리자 확인"))))</x:f>
        <x:v>ST-BOC-500(411-512)2R</x:v>
      </x:c>
      <x:c r="L30" s="5" t="str">
        <x:f>IF(A30="","",IF(K30="관리자 확인","DNC 차단",IF(ISNUMBER(SEARCH("후보",K30)),"관리자 확인",IFERROR(IF(MATCH(K30,PG_LIST!$A:$A,0)&gt;0,"DNC 가능","Program 파일 없음"),"Program 파일 없음"))))</x:f>
        <x:v>DNC 가능</x:v>
      </x:c>
      <x:c r="M30" s="6" t="str">
        <x:f>IF(A30="","",IF(COUNTIF(MGMT_RULE!$A:$A,J30)&gt;0,"관리번호 전용 RULE",IF(COUNTIF(RULE_MAIN!$A:$A,H30)&gt;0,"정확 RULE",IF(COUNTIF(RULE_MAIN!$A:$A,I30)&gt;0,"ANY RULE","확정 RULE 필요"))))</x:f>
        <x:v>ANY RULE</x:v>
      </x:c>
      <x:c r="N30" s="6" t="str">
        <x:f t="shared" si="6"/>
      </x:c>
      <x:c r="O30" s="6" t="str">
        <x:f t="shared" si="7"/>
      </x:c>
    </x:row>
    <x:row r="31">
      <x:c r="A31" s="2" t="s">
        <x:v>54</x:v>
      </x:c>
      <x:c r="B31" s="2">
        <x:v>1</x:v>
      </x:c>
      <x:c r="C31" s="2" t="s">
        <x:v>18</x:v>
      </x:c>
      <x:c r="D31" s="2" t="s">
        <x:v>55</x:v>
      </x:c>
      <x:c r="E31" s="3" t="str">
        <x:f t="shared" si="0"/>
        <x:v>MCP</x:v>
      </x:c>
      <x:c r="F31" s="3" t="str">
        <x:f t="shared" si="1"/>
        <x:v>411-512</x:v>
      </x:c>
      <x:c r="G31" s="3" t="str">
        <x:f t="shared" si="2"/>
        <x:v>CENTER</x:v>
      </x:c>
      <x:c r="H31" s="3" t="str">
        <x:f t="shared" si="3"/>
        <x:v>MCP|1|411-512|CENTER</x:v>
      </x:c>
      <x:c r="I31" s="3" t="str">
        <x:f t="shared" si="4"/>
        <x:v>MCP|1|411-512|ANY</x:v>
      </x:c>
      <x:c r="J31" s="3" t="str">
        <x:f t="shared" si="5"/>
        <x:v>MCP16735C00-006|1|411-512|CENTER</x:v>
      </x:c>
      <x:c r="K31" s="4" t="str">
        <x:f>IF(A31="","",IFERROR(VLOOKUP(J31,MGMT_RULE!$A:$G,7,FALSE),IFERROR(VLOOKUP(H31,RULE_MAIN!$A:$F,6,FALSE),IFERROR(VLOOKUP(I31,RULE_MAIN!$A:$F,6,FALSE),"관리자 확인"))))</x:f>
        <x:v>ST-BOC-500(411-512)2R</x:v>
      </x:c>
      <x:c r="L31" s="5" t="str">
        <x:f>IF(A31="","",IF(K31="관리자 확인","DNC 차단",IF(ISNUMBER(SEARCH("후보",K31)),"관리자 확인",IFERROR(IF(MATCH(K31,PG_LIST!$A:$A,0)&gt;0,"DNC 가능","Program 파일 없음"),"Program 파일 없음"))))</x:f>
        <x:v>DNC 가능</x:v>
      </x:c>
      <x:c r="M31" s="6" t="str">
        <x:f>IF(A31="","",IF(COUNTIF(MGMT_RULE!$A:$A,J31)&gt;0,"관리번호 전용 RULE",IF(COUNTIF(RULE_MAIN!$A:$A,H31)&gt;0,"정확 RULE",IF(COUNTIF(RULE_MAIN!$A:$A,I31)&gt;0,"ANY RULE","확정 RULE 필요"))))</x:f>
        <x:v>ANY RULE</x:v>
      </x:c>
      <x:c r="N31" s="6" t="str">
        <x:f t="shared" si="6"/>
      </x:c>
      <x:c r="O31" s="6" t="str">
        <x:f t="shared" si="7"/>
      </x:c>
    </x:row>
    <x:row r="32">
      <x:c r="A32" s="2" t="s">
        <x:v>56</x:v>
      </x:c>
      <x:c r="B32" s="2">
        <x:v>1</x:v>
      </x:c>
      <x:c r="C32" s="2" t="s">
        <x:v>18</x:v>
      </x:c>
      <x:c r="D32" s="2" t="s">
        <x:v>57</x:v>
      </x:c>
      <x:c r="E32" s="3" t="str">
        <x:f t="shared" si="0"/>
        <x:v>MCP</x:v>
      </x:c>
      <x:c r="F32" s="3" t="str">
        <x:f t="shared" si="1"/>
        <x:v>411-512</x:v>
      </x:c>
      <x:c r="G32" s="3" t="str">
        <x:f t="shared" si="2"/>
        <x:v>후가공(1차)</x:v>
      </x:c>
      <x:c r="H32" s="3" t="str">
        <x:f t="shared" si="3"/>
        <x:v>MCP|1|411-512|후가공(1차)</x:v>
      </x:c>
      <x:c r="I32" s="3" t="str">
        <x:f t="shared" si="4"/>
        <x:v>MCP|1|411-512|ANY</x:v>
      </x:c>
      <x:c r="J32" s="3" t="str">
        <x:f t="shared" si="5"/>
        <x:v>MCP24855A00-000|1|411-512|후가공(1차)</x:v>
      </x:c>
      <x:c r="K32" s="4" t="str">
        <x:f>IF(A32="","",IFERROR(VLOOKUP(J32,MGMT_RULE!$A:$G,7,FALSE),IFERROR(VLOOKUP(H32,RULE_MAIN!$A:$F,6,FALSE),IFERROR(VLOOKUP(I32,RULE_MAIN!$A:$F,6,FALSE),"관리자 확인"))))</x:f>
        <x:v>ST-BOC-500(411-512)2R</x:v>
      </x:c>
      <x:c r="L32" s="5" t="str">
        <x:f>IF(A32="","",IF(K32="관리자 확인","DNC 차단",IF(ISNUMBER(SEARCH("후보",K32)),"관리자 확인",IFERROR(IF(MATCH(K32,PG_LIST!$A:$A,0)&gt;0,"DNC 가능","Program 파일 없음"),"Program 파일 없음"))))</x:f>
        <x:v>DNC 가능</x:v>
      </x:c>
      <x:c r="M32" s="6" t="str">
        <x:f>IF(A32="","",IF(COUNTIF(MGMT_RULE!$A:$A,J32)&gt;0,"관리번호 전용 RULE",IF(COUNTIF(RULE_MAIN!$A:$A,H32)&gt;0,"정확 RULE",IF(COUNTIF(RULE_MAIN!$A:$A,I32)&gt;0,"ANY RULE","확정 RULE 필요"))))</x:f>
        <x:v>ANY RULE</x:v>
      </x:c>
      <x:c r="N32" s="6" t="str">
        <x:f t="shared" si="6"/>
      </x:c>
      <x:c r="O32" s="6" t="str">
        <x:f t="shared" si="7"/>
      </x:c>
    </x:row>
    <x:row r="33">
      <x:c r="A33" s="2" t="s">
        <x:v>58</x:v>
      </x:c>
      <x:c r="B33" s="2">
        <x:v>1</x:v>
      </x:c>
      <x:c r="C33" s="2" t="s">
        <x:v>18</x:v>
      </x:c>
      <x:c r="D33" s="2" t="s">
        <x:v>59</x:v>
      </x:c>
      <x:c r="E33" s="3" t="str">
        <x:f t="shared" si="0"/>
        <x:v>FLC</x:v>
      </x:c>
      <x:c r="F33" s="3" t="str">
        <x:f t="shared" si="1"/>
        <x:v>411-512</x:v>
      </x:c>
      <x:c r="G33" s="3" t="str">
        <x:f t="shared" si="2"/>
        <x:v>후가공(1차)</x:v>
      </x:c>
      <x:c r="H33" s="3" t="str">
        <x:f t="shared" si="3"/>
        <x:v>FLC|1|411-512|후가공(1차)</x:v>
      </x:c>
      <x:c r="I33" s="3" t="str">
        <x:f t="shared" si="4"/>
        <x:v>FLC|1|411-512|ANY</x:v>
      </x:c>
      <x:c r="J33" s="3" t="str">
        <x:f t="shared" si="5"/>
        <x:v>FLC13174A00-006|1|411-512|후가공(1차)</x:v>
      </x:c>
      <x:c r="K33" s="4" t="str">
        <x:f>IF(A33="","",IFERROR(VLOOKUP(J33,MGMT_RULE!$A:$G,7,FALSE),IFERROR(VLOOKUP(H33,RULE_MAIN!$A:$F,6,FALSE),IFERROR(VLOOKUP(I33,RULE_MAIN!$A:$F,6,FALSE),"관리자 확인"))))</x:f>
        <x:v>ST-BOC-500(411-512)2R</x:v>
      </x:c>
      <x:c r="L33" s="5" t="str">
        <x:f>IF(A33="","",IF(K33="관리자 확인","DNC 차단",IF(ISNUMBER(SEARCH("후보",K33)),"관리자 확인",IFERROR(IF(MATCH(K33,PG_LIST!$A:$A,0)&gt;0,"DNC 가능","Program 파일 없음"),"Program 파일 없음"))))</x:f>
        <x:v>DNC 가능</x:v>
      </x:c>
      <x:c r="M33" s="6" t="str">
        <x:f>IF(A33="","",IF(COUNTIF(MGMT_RULE!$A:$A,J33)&gt;0,"관리번호 전용 RULE",IF(COUNTIF(RULE_MAIN!$A:$A,H33)&gt;0,"정확 RULE",IF(COUNTIF(RULE_MAIN!$A:$A,I33)&gt;0,"ANY RULE","확정 RULE 필요"))))</x:f>
        <x:v>ANY RULE</x:v>
      </x:c>
      <x:c r="N33" s="6" t="str">
        <x:f t="shared" si="6"/>
      </x:c>
      <x:c r="O33" s="6" t="str">
        <x:f t="shared" si="7"/>
      </x:c>
    </x:row>
    <x:row r="34">
      <x:c r="A34" s="2"/>
      <x:c r="B34" s="2"/>
      <x:c r="C34" s="2"/>
      <x:c r="D34" s="2"/>
      <x:c r="E34" s="3" t="str">
        <x:f t="shared" si="0"/>
      </x:c>
      <x:c r="F34" s="3" t="str">
        <x:f t="shared" si="1"/>
      </x:c>
      <x:c r="G34" s="3" t="str">
        <x:f t="shared" si="2"/>
        <x:v>OMS2 확인</x:v>
      </x:c>
      <x:c r="H34" s="3" t="str">
        <x:f t="shared" si="3"/>
      </x:c>
      <x:c r="I34" s="3" t="str">
        <x:f t="shared" si="4"/>
      </x:c>
      <x:c r="J34" s="3" t="str">
        <x:f t="shared" si="5"/>
      </x:c>
      <x:c r="K34" s="4" t="str">
        <x:f>IF(A34="","",IFERROR(VLOOKUP(J34,MGMT_RULE!$A:$G,7,FALSE),IFERROR(VLOOKUP(H34,RULE_MAIN!$A:$F,6,FALSE),IFERROR(VLOOKUP(I34,RULE_MAIN!$A:$F,6,FALSE),"관리자 확인"))))</x:f>
      </x:c>
      <x:c r="L34" s="5" t="str">
        <x:f>IF(A34="","",IF(K34="관리자 확인","DNC 차단",IF(ISNUMBER(SEARCH("후보",K34)),"관리자 확인",IFERROR(IF(MATCH(K34,PG_LIST!$A:$A,0)&gt;0,"DNC 가능","Program 파일 없음"),"Program 파일 없음"))))</x:f>
      </x:c>
      <x:c r="M34" s="6" t="str">
        <x:f>IF(A34="","",IF(COUNTIF(MGMT_RULE!$A:$A,J34)&gt;0,"관리번호 전용 RULE",IF(COUNTIF(RULE_MAIN!$A:$A,H34)&gt;0,"정확 RULE",IF(COUNTIF(RULE_MAIN!$A:$A,I34)&gt;0,"ANY RULE","확정 RULE 필요"))))</x:f>
      </x:c>
      <x:c r="N34" s="6" t="str">
        <x:f t="shared" si="6"/>
      </x:c>
      <x:c r="O34" s="6" t="str">
        <x:f t="shared" si="7"/>
      </x:c>
    </x:row>
    <x:row r="35">
      <x:c r="A35" s="2" t="s">
        <x:v>17</x:v>
      </x:c>
      <x:c r="B35" s="2">
        <x:v>2</x:v>
      </x:c>
      <x:c r="C35" s="2" t="s">
        <x:v>18</x:v>
      </x:c>
      <x:c r="D35" s="2" t="s">
        <x:v>19</x:v>
      </x:c>
      <x:c r="E35" s="3" t="str">
        <x:f t="shared" si="0"/>
        <x:v>MCP</x:v>
      </x:c>
      <x:c r="F35" s="3" t="str">
        <x:f t="shared" si="1"/>
        <x:v>411-512</x:v>
      </x:c>
      <x:c r="G35" s="3" t="str">
        <x:f t="shared" si="2"/>
        <x:v>방향홀</x:v>
      </x:c>
      <x:c r="H35" s="3" t="str">
        <x:f t="shared" si="3"/>
        <x:v>MCP|2|411-512|방향홀</x:v>
      </x:c>
      <x:c r="I35" s="3" t="str">
        <x:f t="shared" si="4"/>
        <x:v>MCP|2|411-512|ANY</x:v>
      </x:c>
      <x:c r="J35" s="3" t="str">
        <x:f t="shared" si="5"/>
        <x:v>MCP22465B00-005|2|411-512|방향홀</x:v>
      </x:c>
      <x:c r="K35" s="4" t="str">
        <x:f>IF(A35="","",IFERROR(VLOOKUP(J35,MGMT_RULE!$A:$G,7,FALSE),IFERROR(VLOOKUP(H35,RULE_MAIN!$A:$F,6,FALSE),IFERROR(VLOOKUP(I35,RULE_MAIN!$A:$F,6,FALSE),"관리자 확인"))))</x:f>
        <x:v>ST-3Layer-500+4Hole(411-512)_2R_2_2024 T01 T02 test</x:v>
      </x:c>
      <x:c r="L35" s="5" t="str">
        <x:f>IF(A35="","",IF(K35="관리자 확인","DNC 차단",IF(ISNUMBER(SEARCH("후보",K35)),"관리자 확인",IFERROR(IF(MATCH(K35,PG_LIST!$A:$A,0)&gt;0,"DNC 가능","Program 파일 없음"),"Program 파일 없음"))))</x:f>
        <x:v>DNC 가능</x:v>
      </x:c>
      <x:c r="M35" s="6" t="str">
        <x:f>IF(A35="","",IF(COUNTIF(MGMT_RULE!$A:$A,J35)&gt;0,"관리번호 전용 RULE",IF(COUNTIF(RULE_MAIN!$A:$A,H35)&gt;0,"정확 RULE",IF(COUNTIF(RULE_MAIN!$A:$A,I35)&gt;0,"ANY RULE","확정 RULE 필요"))))</x:f>
        <x:v>ANY RULE</x:v>
      </x:c>
      <x:c r="N35" s="6" t="str">
        <x:f t="shared" si="6"/>
      </x:c>
      <x:c r="O35" s="6" t="str">
        <x:f t="shared" si="7"/>
      </x:c>
    </x:row>
    <x:row r="36">
      <x:c r="A36" s="2" t="s">
        <x:v>60</x:v>
      </x:c>
      <x:c r="B36" s="2">
        <x:v>2</x:v>
      </x:c>
      <x:c r="C36" s="2" t="s">
        <x:v>18</x:v>
      </x:c>
      <x:c r="D36" s="2" t="s">
        <x:v>21</x:v>
      </x:c>
      <x:c r="E36" s="3" t="str">
        <x:f t="shared" si="0"/>
        <x:v>MCP</x:v>
      </x:c>
      <x:c r="F36" s="3" t="str">
        <x:f t="shared" si="1"/>
        <x:v>411-512</x:v>
      </x:c>
      <x:c r="G36" s="3" t="str">
        <x:f t="shared" si="2"/>
        <x:v>CENTER</x:v>
      </x:c>
      <x:c r="H36" s="3" t="str">
        <x:f t="shared" si="3"/>
        <x:v>MCP|2|411-512|CENTER</x:v>
      </x:c>
      <x:c r="I36" s="3" t="str">
        <x:f t="shared" si="4"/>
        <x:v>MCP|2|411-512|ANY</x:v>
      </x:c>
      <x:c r="J36" s="3" t="str">
        <x:f t="shared" si="5"/>
        <x:v>MCP18371H00-011|2|411-512|CENTER</x:v>
      </x:c>
      <x:c r="K36" s="4" t="str">
        <x:f>IF(A36="","",IFERROR(VLOOKUP(J36,MGMT_RULE!$A:$G,7,FALSE),IFERROR(VLOOKUP(H36,RULE_MAIN!$A:$F,6,FALSE),IFERROR(VLOOKUP(I36,RULE_MAIN!$A:$F,6,FALSE),"관리자 확인"))))</x:f>
        <x:v>ST-3Layer-500+4Hole(411-512)_2R_2_2024 T01 T02 test</x:v>
      </x:c>
      <x:c r="L36" s="5" t="str">
        <x:f>IF(A36="","",IF(K36="관리자 확인","DNC 차단",IF(ISNUMBER(SEARCH("후보",K36)),"관리자 확인",IFERROR(IF(MATCH(K36,PG_LIST!$A:$A,0)&gt;0,"DNC 가능","Program 파일 없음"),"Program 파일 없음"))))</x:f>
        <x:v>DNC 가능</x:v>
      </x:c>
      <x:c r="M36" s="6" t="str">
        <x:f>IF(A36="","",IF(COUNTIF(MGMT_RULE!$A:$A,J36)&gt;0,"관리번호 전용 RULE",IF(COUNTIF(RULE_MAIN!$A:$A,H36)&gt;0,"정확 RULE",IF(COUNTIF(RULE_MAIN!$A:$A,I36)&gt;0,"ANY RULE","확정 RULE 필요"))))</x:f>
        <x:v>ANY RULE</x:v>
      </x:c>
      <x:c r="N36" s="6" t="str">
        <x:f t="shared" si="6"/>
      </x:c>
      <x:c r="O36" s="6" t="str">
        <x:f t="shared" si="7"/>
      </x:c>
    </x:row>
    <x:row r="37">
      <x:c r="A37" s="2" t="s">
        <x:v>61</x:v>
      </x:c>
      <x:c r="B37" s="2">
        <x:v>2</x:v>
      </x:c>
      <x:c r="C37" s="2" t="s">
        <x:v>18</x:v>
      </x:c>
      <x:c r="D37" s="2" t="s">
        <x:v>19</x:v>
      </x:c>
      <x:c r="E37" s="3" t="str">
        <x:f t="shared" si="0"/>
        <x:v>MCP</x:v>
      </x:c>
      <x:c r="F37" s="3" t="str">
        <x:f t="shared" si="1"/>
        <x:v>411-512</x:v>
      </x:c>
      <x:c r="G37" s="3" t="str">
        <x:f t="shared" si="2"/>
        <x:v>방향홀</x:v>
      </x:c>
      <x:c r="H37" s="3" t="str">
        <x:f t="shared" si="3"/>
        <x:v>MCP|2|411-512|방향홀</x:v>
      </x:c>
      <x:c r="I37" s="3" t="str">
        <x:f t="shared" si="4"/>
        <x:v>MCP|2|411-512|ANY</x:v>
      </x:c>
      <x:c r="J37" s="3" t="str">
        <x:f t="shared" si="5"/>
        <x:v>MCP23635F00-008|2|411-512|방향홀</x:v>
      </x:c>
      <x:c r="K37" s="4" t="str">
        <x:f>IF(A37="","",IFERROR(VLOOKUP(J37,MGMT_RULE!$A:$G,7,FALSE),IFERROR(VLOOKUP(H37,RULE_MAIN!$A:$F,6,FALSE),IFERROR(VLOOKUP(I37,RULE_MAIN!$A:$F,6,FALSE),"관리자 확인"))))</x:f>
        <x:v>ST-3Layer-500+4Hole(411-512)_2R_2_2024 T01 T02 test</x:v>
      </x:c>
      <x:c r="L37" s="5" t="str">
        <x:f>IF(A37="","",IF(K37="관리자 확인","DNC 차단",IF(ISNUMBER(SEARCH("후보",K37)),"관리자 확인",IFERROR(IF(MATCH(K37,PG_LIST!$A:$A,0)&gt;0,"DNC 가능","Program 파일 없음"),"Program 파일 없음"))))</x:f>
        <x:v>DNC 가능</x:v>
      </x:c>
      <x:c r="M37" s="6" t="str">
        <x:f>IF(A37="","",IF(COUNTIF(MGMT_RULE!$A:$A,J37)&gt;0,"관리번호 전용 RULE",IF(COUNTIF(RULE_MAIN!$A:$A,H37)&gt;0,"정확 RULE",IF(COUNTIF(RULE_MAIN!$A:$A,I37)&gt;0,"ANY RULE","확정 RULE 필요"))))</x:f>
        <x:v>ANY RULE</x:v>
      </x:c>
      <x:c r="N37" s="6" t="str">
        <x:f t="shared" si="6"/>
      </x:c>
      <x:c r="O37" s="6" t="str">
        <x:f t="shared" si="7"/>
      </x:c>
    </x:row>
    <x:row r="38">
      <x:c r="A38" s="2" t="s">
        <x:v>62</x:v>
      </x:c>
      <x:c r="B38" s="2">
        <x:v>2</x:v>
      </x:c>
      <x:c r="C38" s="2" t="s">
        <x:v>18</x:v>
      </x:c>
      <x:c r="D38" s="2" t="s">
        <x:v>19</x:v>
      </x:c>
      <x:c r="E38" s="3" t="str">
        <x:f t="shared" si="0"/>
        <x:v>MCP</x:v>
      </x:c>
      <x:c r="F38" s="3" t="str">
        <x:f t="shared" si="1"/>
        <x:v>411-512</x:v>
      </x:c>
      <x:c r="G38" s="3" t="str">
        <x:f t="shared" si="2"/>
        <x:v>방향홀</x:v>
      </x:c>
      <x:c r="H38" s="3" t="str">
        <x:f t="shared" si="3"/>
        <x:v>MCP|2|411-512|방향홀</x:v>
      </x:c>
      <x:c r="I38" s="3" t="str">
        <x:f t="shared" si="4"/>
        <x:v>MCP|2|411-512|ANY</x:v>
      </x:c>
      <x:c r="J38" s="3" t="str">
        <x:f t="shared" si="5"/>
        <x:v>MCP21636B00-003|2|411-512|방향홀</x:v>
      </x:c>
      <x:c r="K38" s="4" t="str">
        <x:f>IF(A38="","",IFERROR(VLOOKUP(J38,MGMT_RULE!$A:$G,7,FALSE),IFERROR(VLOOKUP(H38,RULE_MAIN!$A:$F,6,FALSE),IFERROR(VLOOKUP(I38,RULE_MAIN!$A:$F,6,FALSE),"관리자 확인"))))</x:f>
        <x:v>ST-3Layer-500+4Hole(411-512)_2R_2_2024 T01 T02 test</x:v>
      </x:c>
      <x:c r="L38" s="5" t="str">
        <x:f>IF(A38="","",IF(K38="관리자 확인","DNC 차단",IF(ISNUMBER(SEARCH("후보",K38)),"관리자 확인",IFERROR(IF(MATCH(K38,PG_LIST!$A:$A,0)&gt;0,"DNC 가능","Program 파일 없음"),"Program 파일 없음"))))</x:f>
        <x:v>DNC 가능</x:v>
      </x:c>
      <x:c r="M38" s="6" t="str">
        <x:f>IF(A38="","",IF(COUNTIF(MGMT_RULE!$A:$A,J38)&gt;0,"관리번호 전용 RULE",IF(COUNTIF(RULE_MAIN!$A:$A,H38)&gt;0,"정확 RULE",IF(COUNTIF(RULE_MAIN!$A:$A,I38)&gt;0,"ANY RULE","확정 RULE 필요"))))</x:f>
        <x:v>ANY RULE</x:v>
      </x:c>
      <x:c r="N38" s="6" t="str">
        <x:f t="shared" si="6"/>
      </x:c>
      <x:c r="O38" s="6" t="str">
        <x:f t="shared" si="7"/>
      </x:c>
    </x:row>
    <x:row r="39">
      <x:c r="A39" s="2"/>
      <x:c r="B39" s="2"/>
      <x:c r="C39" s="2"/>
      <x:c r="D39" s="2"/>
      <x:c r="E39" s="3" t="str">
        <x:f t="shared" si="0"/>
      </x:c>
      <x:c r="F39" s="3" t="str">
        <x:f t="shared" si="1"/>
      </x:c>
      <x:c r="G39" s="3" t="str">
        <x:f t="shared" si="2"/>
        <x:v>OMS2 확인</x:v>
      </x:c>
      <x:c r="H39" s="3" t="str">
        <x:f t="shared" si="3"/>
      </x:c>
      <x:c r="I39" s="3" t="str">
        <x:f t="shared" si="4"/>
      </x:c>
      <x:c r="J39" s="3" t="str">
        <x:f t="shared" si="5"/>
      </x:c>
      <x:c r="K39" s="4" t="str">
        <x:f>IF(A39="","",IFERROR(VLOOKUP(J39,MGMT_RULE!$A:$G,7,FALSE),IFERROR(VLOOKUP(H39,RULE_MAIN!$A:$F,6,FALSE),IFERROR(VLOOKUP(I39,RULE_MAIN!$A:$F,6,FALSE),"관리자 확인"))))</x:f>
      </x:c>
      <x:c r="L39" s="5" t="str">
        <x:f>IF(A39="","",IF(K39="관리자 확인","DNC 차단",IF(ISNUMBER(SEARCH("후보",K39)),"관리자 확인",IFERROR(IF(MATCH(K39,PG_LIST!$A:$A,0)&gt;0,"DNC 가능","Program 파일 없음"),"Program 파일 없음"))))</x:f>
      </x:c>
      <x:c r="M39" s="6" t="str">
        <x:f>IF(A39="","",IF(COUNTIF(MGMT_RULE!$A:$A,J39)&gt;0,"관리번호 전용 RULE",IF(COUNTIF(RULE_MAIN!$A:$A,H39)&gt;0,"정확 RULE",IF(COUNTIF(RULE_MAIN!$A:$A,I39)&gt;0,"ANY RULE","확정 RULE 필요"))))</x:f>
      </x:c>
      <x:c r="N39" s="6" t="str">
        <x:f t="shared" si="6"/>
      </x:c>
      <x:c r="O39" s="6" t="str">
        <x:f t="shared" si="7"/>
      </x:c>
    </x:row>
    <x:row r="40">
      <x:c r="A40" s="2" t="s">
        <x:v>25</x:v>
      </x:c>
      <x:c r="B40" s="2">
        <x:v>2</x:v>
      </x:c>
      <x:c r="C40" s="2" t="s">
        <x:v>18</x:v>
      </x:c>
      <x:c r="D40" s="2" t="s">
        <x:v>39</x:v>
      </x:c>
      <x:c r="E40" s="3" t="str">
        <x:f t="shared" si="0"/>
        <x:v>FLC</x:v>
      </x:c>
      <x:c r="F40" s="3" t="str">
        <x:f t="shared" si="1"/>
        <x:v>411-512</x:v>
      </x:c>
      <x:c r="G40" s="3" t="str">
        <x:f t="shared" si="2"/>
        <x:v>CENTER</x:v>
      </x:c>
      <x:c r="H40" s="3" t="str">
        <x:f t="shared" si="3"/>
        <x:v>FLC|2|411-512|CENTER</x:v>
      </x:c>
      <x:c r="I40" s="3" t="str">
        <x:f t="shared" si="4"/>
        <x:v>FLC|2|411-512|ANY</x:v>
      </x:c>
      <x:c r="J40" s="3" t="str">
        <x:f t="shared" si="5"/>
        <x:v>FLC10340B00-007|2|411-512|CENTER</x:v>
      </x:c>
      <x:c r="K40" s="4" t="str">
        <x:f>IF(A40="","",IFERROR(VLOOKUP(J40,MGMT_RULE!$A:$G,7,FALSE),IFERROR(VLOOKUP(H40,RULE_MAIN!$A:$F,6,FALSE),IFERROR(VLOOKUP(I40,RULE_MAIN!$A:$F,6,FALSE),"관리자 확인"))))</x:f>
        <x:v>06-OUT_(411-512)2R(New)</x:v>
      </x:c>
      <x:c r="L40" s="5" t="str">
        <x:f>IF(A40="","",IF(K40="관리자 확인","DNC 차단",IF(ISNUMBER(SEARCH("후보",K40)),"관리자 확인",IFERROR(IF(MATCH(K40,PG_LIST!$A:$A,0)&gt;0,"DNC 가능","Program 파일 없음"),"Program 파일 없음"))))</x:f>
        <x:v>DNC 가능</x:v>
      </x:c>
      <x:c r="M40" s="6" t="str">
        <x:f>IF(A40="","",IF(COUNTIF(MGMT_RULE!$A:$A,J40)&gt;0,"관리번호 전용 RULE",IF(COUNTIF(RULE_MAIN!$A:$A,H40)&gt;0,"정확 RULE",IF(COUNTIF(RULE_MAIN!$A:$A,I40)&gt;0,"ANY RULE","확정 RULE 필요"))))</x:f>
        <x:v>관리번호 전용 RULE</x:v>
      </x:c>
      <x:c r="N40" s="6" t="str">
        <x:f t="shared" si="6"/>
      </x:c>
      <x:c r="O40" s="6" t="str">
        <x:f t="shared" si="7"/>
      </x:c>
    </x:row>
    <x:row r="41">
      <x:c r="A41" s="2"/>
      <x:c r="B41" s="2"/>
      <x:c r="C41" s="2"/>
      <x:c r="D41" s="2"/>
      <x:c r="E41" s="3" t="str">
        <x:f t="shared" si="0"/>
      </x:c>
      <x:c r="F41" s="3" t="str">
        <x:f t="shared" si="1"/>
      </x:c>
      <x:c r="G41" s="3" t="str">
        <x:f t="shared" si="2"/>
        <x:v>OMS2 확인</x:v>
      </x:c>
      <x:c r="H41" s="3" t="str">
        <x:f t="shared" si="3"/>
      </x:c>
      <x:c r="I41" s="3" t="str">
        <x:f t="shared" si="4"/>
      </x:c>
      <x:c r="J41" s="3" t="str">
        <x:f t="shared" si="5"/>
      </x:c>
      <x:c r="K41" s="4" t="str">
        <x:f>IF(A41="","",IFERROR(VLOOKUP(J41,MGMT_RULE!$A:$G,7,FALSE),IFERROR(VLOOKUP(H41,RULE_MAIN!$A:$F,6,FALSE),IFERROR(VLOOKUP(I41,RULE_MAIN!$A:$F,6,FALSE),"관리자 확인"))))</x:f>
      </x:c>
      <x:c r="L41" s="5" t="str">
        <x:f>IF(A41="","",IF(K41="관리자 확인","DNC 차단",IF(ISNUMBER(SEARCH("후보",K41)),"관리자 확인",IFERROR(IF(MATCH(K41,PG_LIST!$A:$A,0)&gt;0,"DNC 가능","Program 파일 없음"),"Program 파일 없음"))))</x:f>
      </x:c>
      <x:c r="M41" s="6" t="str">
        <x:f>IF(A41="","",IF(COUNTIF(MGMT_RULE!$A:$A,J41)&gt;0,"관리번호 전용 RULE",IF(COUNTIF(RULE_MAIN!$A:$A,H41)&gt;0,"정확 RULE",IF(COUNTIF(RULE_MAIN!$A:$A,I41)&gt;0,"ANY RULE","확정 RULE 필요"))))</x:f>
      </x:c>
      <x:c r="N41" s="6" t="str">
        <x:f t="shared" si="6"/>
      </x:c>
      <x:c r="O41" s="6" t="str">
        <x:f t="shared" si="7"/>
      </x:c>
    </x:row>
    <x:row r="42">
      <x:c r="A42" s="2" t="s">
        <x:v>63</x:v>
      </x:c>
      <x:c r="B42" s="2">
        <x:v>1</x:v>
      </x:c>
      <x:c r="C42" s="2" t="s">
        <x:v>64</x:v>
      </x:c>
      <x:c r="D42" s="2" t="s">
        <x:v>44</x:v>
      </x:c>
      <x:c r="E42" s="3" t="str">
        <x:f t="shared" si="0"/>
        <x:v>MCP</x:v>
      </x:c>
      <x:c r="F42" s="3" t="str">
        <x:f t="shared" si="1"/>
        <x:v>411-512</x:v>
      </x:c>
      <x:c r="G42" s="3" t="str">
        <x:f>IF(D42="","OMS2 확인",IF(OR(ISNUMBER(SEARCH("우측10",D42)),ISNUMBER(SEARCH("우측 10",D42))),"우측10mm",IF(ISNUMBER(SEARCH("방향홀",D42)),"방향홀",IF(ISNUMBER(SEARCH("후가공(2차)",D42)),"후가공(2차)",IF(ISNUMBER(SEARCH("후가공(1차)",D42)),"후가공(1차)",IF(ISNUMBER(SEARCH("센터",D42)),"CENTER",IF(ISNUMBER(SEARCH("SIZE 유의",D42)),"주의문구","OMS2 확인")))))))</x:f>
        <x:v>주의문구</x:v>
      </x:c>
      <x:c r="H42" s="3" t="str">
        <x:f t="shared" si="3"/>
        <x:v>MCP|1|411-512|주의문구</x:v>
      </x:c>
      <x:c r="I42" s="3" t="str">
        <x:f t="shared" si="4"/>
        <x:v>MCP|1|411-512|ANY</x:v>
      </x:c>
      <x:c r="J42" s="3" t="str">
        <x:f t="shared" si="5"/>
        <x:v>MCP24775A00-003|1|411-512|주의문구</x:v>
      </x:c>
      <x:c r="K42" s="4" t="str">
        <x:f>IF(A42="","",IFERROR(VLOOKUP(J42,MGMT_RULE!$A:$G,7,FALSE),IFERROR(VLOOKUP(H42,RULE_MAIN!$A:$F,6,FALSE),IFERROR(VLOOKUP(I42,RULE_MAIN!$A:$F,6,FALSE),"관리자 확인"))))</x:f>
        <x:v>ST-BOC-500(411-512)2R</x:v>
      </x:c>
      <x:c r="L42" s="5" t="str">
        <x:f>IF(A42="","",IF(K42="관리자 확인","DNC 차단",IF(ISNUMBER(SEARCH("후보",K42)),"관리자 확인",IFERROR(IF(MATCH(K42,PG_LIST!$A:$A,0)&gt;0,"DNC 가능","Program 파일 없음"),"Program 파일 없음"))))</x:f>
        <x:v>DNC 가능</x:v>
      </x:c>
      <x:c r="M42" s="6" t="str">
        <x:f>IF(A42="","",IF(COUNTIF(MGMT_RULE!$A:$A,J42)&gt;0,"관리번호 전용 RULE",IF(COUNTIF(RULE_MAIN!$A:$A,H42)&gt;0,"정확 RULE",IF(COUNTIF(RULE_MAIN!$A:$A,I42)&gt;0,"ANY RULE","확정 RULE 필요"))))</x:f>
        <x:v>ANY RULE</x:v>
      </x:c>
      <x:c r="N42" s="6" t="str">
        <x:f t="shared" si="6"/>
      </x:c>
      <x:c r="O42" s="6" t="str">
        <x:f t="shared" si="7"/>
      </x:c>
    </x:row>
    <x:row r="43">
      <x:c r="A43" s="2" t="s">
        <x:v>65</x:v>
      </x:c>
      <x:c r="B43" s="2">
        <x:v>1</x:v>
      </x:c>
      <x:c r="C43" s="2" t="s">
        <x:v>64</x:v>
      </x:c>
      <x:c r="D43" s="2" t="s">
        <x:v>66</x:v>
      </x:c>
      <x:c r="E43" s="3" t="str">
        <x:f t="shared" si="0"/>
        <x:v>MCP</x:v>
      </x:c>
      <x:c r="F43" s="3" t="str">
        <x:f t="shared" si="1"/>
        <x:v>411-512</x:v>
      </x:c>
      <x:c r="G43" s="3" t="str">
        <x:f>IF(D43="","OMS2 확인",IF(OR(ISNUMBER(SEARCH("우측10",D43)),ISNUMBER(SEARCH("우측 10",D43))),"우측10mm",IF(ISNUMBER(SEARCH("방향홀",D43)),"방향홀",IF(ISNUMBER(SEARCH("후가공(2차)",D43)),"후가공(2차)",IF(ISNUMBER(SEARCH("후가공(1차)",D43)),"후가공(1차)",IF(ISNUMBER(SEARCH("센터",D43)),"CENTER",IF(ISNUMBER(SEARCH("SIZE 유의",D43)),"주의문구","OMS2 확인")))))))</x:f>
        <x:v>CENTER</x:v>
      </x:c>
      <x:c r="H43" s="3" t="str">
        <x:f t="shared" si="3"/>
        <x:v>MCP|1|411-512|CENTER</x:v>
      </x:c>
      <x:c r="I43" s="3" t="str">
        <x:f t="shared" si="4"/>
        <x:v>MCP|1|411-512|ANY</x:v>
      </x:c>
      <x:c r="J43" s="3" t="str">
        <x:f t="shared" si="5"/>
        <x:v>MCP23592A00-004|1|411-512|CENTER</x:v>
      </x:c>
      <x:c r="K43" s="4" t="str">
        <x:f>IF(A43="","",IFERROR(VLOOKUP(J43,MGMT_RULE!$A:$G,7,FALSE),IFERROR(VLOOKUP(H43,RULE_MAIN!$A:$F,6,FALSE),IFERROR(VLOOKUP(I43,RULE_MAIN!$A:$F,6,FALSE),"관리자 확인"))))</x:f>
        <x:v>ST-BOC-500(411-512)2R</x:v>
      </x:c>
      <x:c r="L43" s="5" t="str">
        <x:f>IF(A43="","",IF(K43="관리자 확인","DNC 차단",IF(ISNUMBER(SEARCH("후보",K43)),"관리자 확인",IFERROR(IF(MATCH(K43,PG_LIST!$A:$A,0)&gt;0,"DNC 가능","Program 파일 없음"),"Program 파일 없음"))))</x:f>
        <x:v>DNC 가능</x:v>
      </x:c>
      <x:c r="M43" s="6" t="str">
        <x:f>IF(A43="","",IF(COUNTIF(MGMT_RULE!$A:$A,J43)&gt;0,"관리번호 전용 RULE",IF(COUNTIF(RULE_MAIN!$A:$A,H43)&gt;0,"정확 RULE",IF(COUNTIF(RULE_MAIN!$A:$A,I43)&gt;0,"ANY RULE","확정 RULE 필요"))))</x:f>
        <x:v>ANY RULE</x:v>
      </x:c>
      <x:c r="N43" s="6" t="str">
        <x:f t="shared" si="6"/>
      </x:c>
      <x:c r="O43" s="6" t="str">
        <x:f t="shared" si="7"/>
      </x:c>
    </x:row>
    <x:row r="44">
      <x:c r="A44" s="2" t="s">
        <x:v>67</x:v>
      </x:c>
      <x:c r="B44" s="2">
        <x:v>2</x:v>
      </x:c>
      <x:c r="C44" s="2" t="s">
        <x:v>68</x:v>
      </x:c>
      <x:c r="D44" s="2" t="s">
        <x:v>21</x:v>
      </x:c>
      <x:c r="E44" s="3" t="str">
        <x:f t="shared" si="0"/>
        <x:v>MCP</x:v>
      </x:c>
      <x:c r="F44" s="3" t="str">
        <x:f t="shared" si="1"/>
        <x:v>411-512</x:v>
      </x:c>
      <x:c r="G44" s="3" t="str">
        <x:f t="shared" si="2"/>
        <x:v>CENTER</x:v>
      </x:c>
      <x:c r="H44" s="3" t="str">
        <x:f t="shared" si="3"/>
        <x:v>MCP|2|411-512|CENTER</x:v>
      </x:c>
      <x:c r="I44" s="3" t="str">
        <x:f t="shared" si="4"/>
        <x:v>MCP|2|411-512|ANY</x:v>
      </x:c>
      <x:c r="J44" s="3" t="str">
        <x:f t="shared" si="5"/>
        <x:v>MCP20870C00-013|2|411-512|CENTER</x:v>
      </x:c>
      <x:c r="K44" s="4" t="str">
        <x:f>IF(A44="","",IFERROR(VLOOKUP(J44,MGMT_RULE!$A:$G,7,FALSE),IFERROR(VLOOKUP(H44,RULE_MAIN!$A:$F,6,FALSE),IFERROR(VLOOKUP(I44,RULE_MAIN!$A:$F,6,FALSE),"관리자 확인"))))</x:f>
        <x:v>ST-3Layer-500+4Hole(411-512)_2R_2_2024 T01 T02 test</x:v>
      </x:c>
      <x:c r="L44" s="5" t="str">
        <x:f>IF(A44="","",IF(K44="관리자 확인","DNC 차단",IF(ISNUMBER(SEARCH("후보",K44)),"관리자 확인",IFERROR(IF(MATCH(K44,PG_LIST!$A:$A,0)&gt;0,"DNC 가능","Program 파일 없음"),"Program 파일 없음"))))</x:f>
        <x:v>DNC 가능</x:v>
      </x:c>
      <x:c r="M44" s="6" t="str">
        <x:f>IF(A44="","",IF(COUNTIF(MGMT_RULE!$A:$A,J44)&gt;0,"관리번호 전용 RULE",IF(COUNTIF(RULE_MAIN!$A:$A,H44)&gt;0,"정확 RULE",IF(COUNTIF(RULE_MAIN!$A:$A,I44)&gt;0,"ANY RULE","확정 RULE 필요"))))</x:f>
        <x:v>ANY RULE</x:v>
      </x:c>
      <x:c r="N44" s="6" t="str">
        <x:f t="shared" si="6"/>
      </x:c>
      <x:c r="O44" s="6" t="str">
        <x:f t="shared" si="7"/>
      </x:c>
    </x:row>
    <x:row r="45">
      <x:c r="A45" s="2"/>
      <x:c r="B45" s="2"/>
      <x:c r="C45" s="2"/>
      <x:c r="D45" s="2"/>
      <x:c r="E45" s="3" t="str">
        <x:f t="shared" si="0"/>
      </x:c>
      <x:c r="F45" s="3" t="str">
        <x:f t="shared" si="1"/>
      </x:c>
      <x:c r="G45" s="3" t="str">
        <x:f t="shared" si="2"/>
        <x:v>OMS2 확인</x:v>
      </x:c>
      <x:c r="H45" s="3" t="str">
        <x:f t="shared" si="3"/>
      </x:c>
      <x:c r="I45" s="3" t="str">
        <x:f t="shared" si="4"/>
      </x:c>
      <x:c r="J45" s="3" t="str">
        <x:f t="shared" si="5"/>
      </x:c>
      <x:c r="K45" s="4" t="str">
        <x:f>IF(A45="","",IFERROR(VLOOKUP(J45,MGMT_RULE!$A:$G,7,FALSE),IFERROR(VLOOKUP(H45,RULE_MAIN!$A:$F,6,FALSE),IFERROR(VLOOKUP(I45,RULE_MAIN!$A:$F,6,FALSE),"관리자 확인"))))</x:f>
      </x:c>
      <x:c r="L45" s="5" t="str">
        <x:f>IF(A45="","",IF(K45="관리자 확인","DNC 차단",IF(ISNUMBER(SEARCH("후보",K45)),"관리자 확인",IFERROR(IF(MATCH(K45,PG_LIST!$A:$A,0)&gt;0,"DNC 가능","Program 파일 없음"),"Program 파일 없음"))))</x:f>
      </x:c>
      <x:c r="M45" s="6" t="str">
        <x:f>IF(A45="","",IF(COUNTIF(MGMT_RULE!$A:$A,J45)&gt;0,"관리번호 전용 RULE",IF(COUNTIF(RULE_MAIN!$A:$A,H45)&gt;0,"정확 RULE",IF(COUNTIF(RULE_MAIN!$A:$A,I45)&gt;0,"ANY RULE","확정 RULE 필요"))))</x:f>
      </x:c>
      <x:c r="N45" s="6" t="str">
        <x:f t="shared" si="6"/>
      </x:c>
      <x:c r="O45" s="6" t="str">
        <x:f t="shared" si="7"/>
      </x:c>
    </x:row>
    <x:row r="46">
      <x:c r="A46" s="2"/>
      <x:c r="B46" s="2"/>
      <x:c r="C46" s="2"/>
      <x:c r="D46" s="2"/>
      <x:c r="E46" s="3" t="str">
        <x:f t="shared" si="0"/>
      </x:c>
      <x:c r="F46" s="3" t="str">
        <x:f t="shared" si="1"/>
      </x:c>
      <x:c r="G46" s="3" t="str">
        <x:f t="shared" si="2"/>
        <x:v>OMS2 확인</x:v>
      </x:c>
      <x:c r="H46" s="3" t="str">
        <x:f t="shared" si="3"/>
      </x:c>
      <x:c r="I46" s="3" t="str">
        <x:f t="shared" si="4"/>
      </x:c>
      <x:c r="J46" s="3" t="str">
        <x:f t="shared" si="5"/>
      </x:c>
      <x:c r="K46" s="4" t="str">
        <x:f>IF(A46="","",IFERROR(VLOOKUP(J46,MGMT_RULE!$A:$G,7,FALSE),IFERROR(VLOOKUP(H46,RULE_MAIN!$A:$F,6,FALSE),IFERROR(VLOOKUP(I46,RULE_MAIN!$A:$F,6,FALSE),"관리자 확인"))))</x:f>
      </x:c>
      <x:c r="L46" s="5" t="str">
        <x:f>IF(A46="","",IF(K46="관리자 확인","DNC 차단",IF(ISNUMBER(SEARCH("후보",K46)),"관리자 확인",IFERROR(IF(MATCH(K46,PG_LIST!$A:$A,0)&gt;0,"DNC 가능","Program 파일 없음"),"Program 파일 없음"))))</x:f>
      </x:c>
      <x:c r="M46" s="6" t="str">
        <x:f>IF(A46="","",IF(COUNTIF(MGMT_RULE!$A:$A,J46)&gt;0,"관리번호 전용 RULE",IF(COUNTIF(RULE_MAIN!$A:$A,H46)&gt;0,"정확 RULE",IF(COUNTIF(RULE_MAIN!$A:$A,I46)&gt;0,"ANY RULE","확정 RULE 필요"))))</x:f>
      </x:c>
      <x:c r="N46" s="6" t="str">
        <x:f t="shared" si="6"/>
      </x:c>
      <x:c r="O46" s="6" t="str">
        <x:f t="shared" si="7"/>
      </x:c>
    </x:row>
    <x:row r="47">
      <x:c r="A47" s="2"/>
      <x:c r="B47" s="2"/>
      <x:c r="C47" s="2"/>
      <x:c r="D47" s="2"/>
      <x:c r="E47" s="3" t="str">
        <x:f t="shared" si="0"/>
      </x:c>
      <x:c r="F47" s="3" t="str">
        <x:f t="shared" si="1"/>
      </x:c>
      <x:c r="G47" s="3" t="str">
        <x:f t="shared" si="2"/>
        <x:v>OMS2 확인</x:v>
      </x:c>
      <x:c r="H47" s="3" t="str">
        <x:f t="shared" si="3"/>
      </x:c>
      <x:c r="I47" s="3" t="str">
        <x:f t="shared" si="4"/>
      </x:c>
      <x:c r="J47" s="3" t="str">
        <x:f t="shared" si="5"/>
      </x:c>
      <x:c r="K47" s="4" t="str">
        <x:f>IF(A47="","",IFERROR(VLOOKUP(J47,MGMT_RULE!$A:$G,7,FALSE),IFERROR(VLOOKUP(H47,RULE_MAIN!$A:$F,6,FALSE),IFERROR(VLOOKUP(I47,RULE_MAIN!$A:$F,6,FALSE),"관리자 확인"))))</x:f>
      </x:c>
      <x:c r="L47" s="5" t="str">
        <x:f>IF(A47="","",IF(K47="관리자 확인","DNC 차단",IF(ISNUMBER(SEARCH("후보",K47)),"관리자 확인",IFERROR(IF(MATCH(K47,PG_LIST!$A:$A,0)&gt;0,"DNC 가능","Program 파일 없음"),"Program 파일 없음"))))</x:f>
      </x:c>
      <x:c r="M47" s="6" t="str">
        <x:f>IF(A47="","",IF(COUNTIF(MGMT_RULE!$A:$A,J47)&gt;0,"관리번호 전용 RULE",IF(COUNTIF(RULE_MAIN!$A:$A,H47)&gt;0,"정확 RULE",IF(COUNTIF(RULE_MAIN!$A:$A,I47)&gt;0,"ANY RULE","확정 RULE 필요"))))</x:f>
      </x:c>
      <x:c r="N47" s="6" t="str">
        <x:f t="shared" si="6"/>
      </x:c>
      <x:c r="O47" s="6" t="str">
        <x:f t="shared" si="7"/>
      </x:c>
    </x:row>
    <x:row r="48">
      <x:c r="A48" s="2" t="s">
        <x:v>58</x:v>
      </x:c>
      <x:c r="B48" s="2">
        <x:v>1</x:v>
      </x:c>
      <x:c r="C48" s="2" t="s">
        <x:v>64</x:v>
      </x:c>
      <x:c r="D48" s="2" t="s">
        <x:v>59</x:v>
      </x:c>
      <x:c r="E48" s="3" t="str">
        <x:f t="shared" si="0"/>
        <x:v>FLC</x:v>
      </x:c>
      <x:c r="F48" s="3" t="str">
        <x:f t="shared" si="1"/>
        <x:v>411-512</x:v>
      </x:c>
      <x:c r="G48" s="3" t="str">
        <x:f t="shared" si="2"/>
        <x:v>후가공(1차)</x:v>
      </x:c>
      <x:c r="H48" s="3" t="str">
        <x:f t="shared" si="3"/>
        <x:v>FLC|1|411-512|후가공(1차)</x:v>
      </x:c>
      <x:c r="I48" s="3" t="str">
        <x:f t="shared" si="4"/>
        <x:v>FLC|1|411-512|ANY</x:v>
      </x:c>
      <x:c r="J48" s="3" t="str">
        <x:f t="shared" si="5"/>
        <x:v>FLC13174A00-006|1|411-512|후가공(1차)</x:v>
      </x:c>
      <x:c r="K48" s="4" t="str">
        <x:f>IF(A48="","",IFERROR(VLOOKUP(J48,MGMT_RULE!$A:$G,7,FALSE),IFERROR(VLOOKUP(H48,RULE_MAIN!$A:$F,6,FALSE),IFERROR(VLOOKUP(I48,RULE_MAIN!$A:$F,6,FALSE),"관리자 확인"))))</x:f>
        <x:v>ST-BOC-500(411-512)2R</x:v>
      </x:c>
      <x:c r="L48" s="5" t="str">
        <x:f>IF(A48="","",IF(K48="관리자 확인","DNC 차단",IF(ISNUMBER(SEARCH("후보",K48)),"관리자 확인",IFERROR(IF(MATCH(K48,PG_LIST!$A:$A,0)&gt;0,"DNC 가능","Program 파일 없음"),"Program 파일 없음"))))</x:f>
        <x:v>DNC 가능</x:v>
      </x:c>
      <x:c r="M48" s="6" t="str">
        <x:f>IF(A48="","",IF(COUNTIF(MGMT_RULE!$A:$A,J48)&gt;0,"관리번호 전용 RULE",IF(COUNTIF(RULE_MAIN!$A:$A,H48)&gt;0,"정확 RULE",IF(COUNTIF(RULE_MAIN!$A:$A,I48)&gt;0,"ANY RULE","확정 RULE 필요"))))</x:f>
        <x:v>ANY RULE</x:v>
      </x:c>
      <x:c r="N48" s="6" t="str">
        <x:f t="shared" si="6"/>
      </x:c>
      <x:c r="O48" s="6" t="str">
        <x:f t="shared" si="7"/>
      </x:c>
    </x:row>
    <x:row r="49">
      <x:c r="A49" s="2" t="s">
        <x:v>69</x:v>
      </x:c>
      <x:c r="B49" s="2">
        <x:v>1</x:v>
      </x:c>
      <x:c r="C49" s="2" t="s">
        <x:v>18</x:v>
      </x:c>
      <x:c r="D49" s="2" t="s">
        <x:v>70</x:v>
      </x:c>
      <x:c r="E49" s="3" t="str">
        <x:f t="shared" si="0"/>
        <x:v>MCP</x:v>
      </x:c>
      <x:c r="F49" s="3" t="str">
        <x:f t="shared" si="1"/>
        <x:v>411-512</x:v>
      </x:c>
      <x:c r="G49" s="3" t="str">
        <x:f t="shared" si="2"/>
        <x:v>CENTER</x:v>
      </x:c>
      <x:c r="H49" s="3" t="str">
        <x:f t="shared" si="3"/>
        <x:v>MCP|1|411-512|CENTER</x:v>
      </x:c>
      <x:c r="I49" s="3" t="str">
        <x:f t="shared" si="4"/>
        <x:v>MCP|1|411-512|ANY</x:v>
      </x:c>
      <x:c r="J49" s="3" t="str">
        <x:f t="shared" si="5"/>
        <x:v>MCP24921A00-001|1|411-512|CENTER</x:v>
      </x:c>
      <x:c r="K49" s="4" t="str">
        <x:f>IF(A49="","",IFERROR(VLOOKUP(J49,MGMT_RULE!$A:$G,7,FALSE),IFERROR(VLOOKUP(H49,RULE_MAIN!$A:$F,6,FALSE),IFERROR(VLOOKUP(I49,RULE_MAIN!$A:$F,6,FALSE),"관리자 확인"))))</x:f>
        <x:v>ST-BOC-500(411-512)2R</x:v>
      </x:c>
      <x:c r="L49" s="5" t="str">
        <x:f>IF(A49="","",IF(K49="관리자 확인","DNC 차단",IF(ISNUMBER(SEARCH("후보",K49)),"관리자 확인",IFERROR(IF(MATCH(K49,PG_LIST!$A:$A,0)&gt;0,"DNC 가능","Program 파일 없음"),"Program 파일 없음"))))</x:f>
        <x:v>DNC 가능</x:v>
      </x:c>
      <x:c r="M49" s="6" t="str">
        <x:f>IF(A49="","",IF(COUNTIF(MGMT_RULE!$A:$A,J49)&gt;0,"관리번호 전용 RULE",IF(COUNTIF(RULE_MAIN!$A:$A,H49)&gt;0,"정확 RULE",IF(COUNTIF(RULE_MAIN!$A:$A,I49)&gt;0,"ANY RULE","확정 RULE 필요"))))</x:f>
        <x:v>ANY RULE</x:v>
      </x:c>
      <x:c r="N49" s="6" t="str">
        <x:f t="shared" si="6"/>
      </x:c>
      <x:c r="O49" s="6" t="str">
        <x:f t="shared" si="7"/>
      </x:c>
    </x:row>
    <x:row r="50">
      <x:c r="A50" s="2"/>
      <x:c r="B50" s="2"/>
      <x:c r="C50" s="2"/>
      <x:c r="D50" s="2"/>
      <x:c r="E50" s="3" t="str">
        <x:f t="shared" si="0"/>
      </x:c>
      <x:c r="F50" s="3" t="str">
        <x:f t="shared" si="1"/>
      </x:c>
      <x:c r="G50" s="3" t="str">
        <x:f t="shared" si="2"/>
        <x:v>OMS2 확인</x:v>
      </x:c>
      <x:c r="H50" s="3" t="str">
        <x:f t="shared" si="3"/>
      </x:c>
      <x:c r="I50" s="3" t="str">
        <x:f t="shared" si="4"/>
      </x:c>
      <x:c r="J50" s="3" t="str">
        <x:f t="shared" si="5"/>
      </x:c>
      <x:c r="K50" s="4" t="str">
        <x:f>IF(A50="","",IFERROR(VLOOKUP(J50,MGMT_RULE!$A:$G,7,FALSE),IFERROR(VLOOKUP(H50,RULE_MAIN!$A:$F,6,FALSE),IFERROR(VLOOKUP(I50,RULE_MAIN!$A:$F,6,FALSE),"관리자 확인"))))</x:f>
      </x:c>
      <x:c r="L50" s="5" t="str">
        <x:f>IF(A50="","",IF(K50="관리자 확인","DNC 차단",IF(ISNUMBER(SEARCH("후보",K50)),"관리자 확인",IFERROR(IF(MATCH(K50,PG_LIST!$A:$A,0)&gt;0,"DNC 가능","Program 파일 없음"),"Program 파일 없음"))))</x:f>
      </x:c>
      <x:c r="M50" s="6" t="str">
        <x:f>IF(A50="","",IF(COUNTIF(MGMT_RULE!$A:$A,J50)&gt;0,"관리번호 전용 RULE",IF(COUNTIF(RULE_MAIN!$A:$A,H50)&gt;0,"정확 RULE",IF(COUNTIF(RULE_MAIN!$A:$A,I50)&gt;0,"ANY RULE","확정 RULE 필요"))))</x:f>
      </x:c>
      <x:c r="N50" s="6" t="str">
        <x:f t="shared" si="6"/>
      </x:c>
      <x:c r="O50" s="6" t="str">
        <x:f t="shared" si="7"/>
      </x:c>
    </x:row>
    <x:row r="51">
      <x:c r="A51" s="2"/>
      <x:c r="B51" s="2"/>
      <x:c r="C51" s="2"/>
      <x:c r="D51" s="2"/>
      <x:c r="E51" s="3" t="str">
        <x:f t="shared" si="0"/>
      </x:c>
      <x:c r="F51" s="3" t="str">
        <x:f t="shared" si="1"/>
      </x:c>
      <x:c r="G51" s="3" t="str">
        <x:f t="shared" si="2"/>
        <x:v>OMS2 확인</x:v>
      </x:c>
      <x:c r="H51" s="3" t="str">
        <x:f t="shared" si="3"/>
      </x:c>
      <x:c r="I51" s="3" t="str">
        <x:f t="shared" si="4"/>
      </x:c>
      <x:c r="J51" s="3" t="str">
        <x:f t="shared" si="5"/>
      </x:c>
      <x:c r="K51" s="4" t="str">
        <x:f>IF(A51="","",IFERROR(VLOOKUP(J51,MGMT_RULE!$A:$G,7,FALSE),IFERROR(VLOOKUP(H51,RULE_MAIN!$A:$F,6,FALSE),IFERROR(VLOOKUP(I51,RULE_MAIN!$A:$F,6,FALSE),"관리자 확인"))))</x:f>
      </x:c>
      <x:c r="L51" s="5" t="str">
        <x:f>IF(A51="","",IF(K51="관리자 확인","DNC 차단",IF(ISNUMBER(SEARCH("후보",K51)),"관리자 확인",IFERROR(IF(MATCH(K51,PG_LIST!$A:$A,0)&gt;0,"DNC 가능","Program 파일 없음"),"Program 파일 없음"))))</x:f>
      </x:c>
      <x:c r="M51" s="6" t="str">
        <x:f>IF(A51="","",IF(COUNTIF(MGMT_RULE!$A:$A,J51)&gt;0,"관리번호 전용 RULE",IF(COUNTIF(RULE_MAIN!$A:$A,H51)&gt;0,"정확 RULE",IF(COUNTIF(RULE_MAIN!$A:$A,I51)&gt;0,"ANY RULE","확정 RULE 필요"))))</x:f>
      </x:c>
      <x:c r="N51" s="6" t="str">
        <x:f t="shared" si="6"/>
      </x:c>
      <x:c r="O51" s="6" t="str">
        <x:f t="shared" si="7"/>
      </x:c>
    </x:row>
    <x:row r="52">
      <x:c r="A52" s="2"/>
      <x:c r="B52" s="2"/>
      <x:c r="C52" s="2"/>
      <x:c r="D52" s="2"/>
      <x:c r="E52" s="3" t="str">
        <x:f t="shared" si="0"/>
      </x:c>
      <x:c r="F52" s="3" t="str">
        <x:f t="shared" si="1"/>
      </x:c>
      <x:c r="G52" s="3" t="str">
        <x:f t="shared" si="2"/>
        <x:v>OMS2 확인</x:v>
      </x:c>
      <x:c r="H52" s="3" t="str">
        <x:f t="shared" si="3"/>
      </x:c>
      <x:c r="I52" s="3" t="str">
        <x:f t="shared" si="4"/>
      </x:c>
      <x:c r="J52" s="3" t="str">
        <x:f t="shared" si="5"/>
      </x:c>
      <x:c r="K52" s="4" t="str">
        <x:f>IF(A52="","",IFERROR(VLOOKUP(J52,MGMT_RULE!$A:$G,7,FALSE),IFERROR(VLOOKUP(H52,RULE_MAIN!$A:$F,6,FALSE),IFERROR(VLOOKUP(I52,RULE_MAIN!$A:$F,6,FALSE),"관리자 확인"))))</x:f>
      </x:c>
      <x:c r="L52" s="5" t="str">
        <x:f>IF(A52="","",IF(K52="관리자 확인","DNC 차단",IF(ISNUMBER(SEARCH("후보",K52)),"관리자 확인",IFERROR(IF(MATCH(K52,PG_LIST!$A:$A,0)&gt;0,"DNC 가능","Program 파일 없음"),"Program 파일 없음"))))</x:f>
      </x:c>
      <x:c r="M52" s="6" t="str">
        <x:f>IF(A52="","",IF(COUNTIF(MGMT_RULE!$A:$A,J52)&gt;0,"관리번호 전용 RULE",IF(COUNTIF(RULE_MAIN!$A:$A,H52)&gt;0,"정확 RULE",IF(COUNTIF(RULE_MAIN!$A:$A,I52)&gt;0,"ANY RULE","확정 RULE 필요"))))</x:f>
      </x:c>
      <x:c r="N52" s="6" t="str">
        <x:f t="shared" si="6"/>
      </x:c>
      <x:c r="O52" s="6" t="str">
        <x:f t="shared" si="7"/>
      </x:c>
    </x:row>
    <x:row r="53">
      <x:c r="A53" s="2"/>
      <x:c r="B53" s="2"/>
      <x:c r="C53" s="2"/>
      <x:c r="D53" s="2"/>
      <x:c r="E53" s="3" t="str">
        <x:f t="shared" si="0"/>
      </x:c>
      <x:c r="F53" s="3" t="str">
        <x:f t="shared" si="1"/>
      </x:c>
      <x:c r="G53" s="3" t="str">
        <x:f t="shared" si="2"/>
        <x:v>OMS2 확인</x:v>
      </x:c>
      <x:c r="H53" s="3" t="str">
        <x:f t="shared" si="3"/>
      </x:c>
      <x:c r="I53" s="3" t="str">
        <x:f t="shared" si="4"/>
      </x:c>
      <x:c r="J53" s="3" t="str">
        <x:f t="shared" si="5"/>
      </x:c>
      <x:c r="K53" s="4" t="str">
        <x:f>IF(A53="","",IFERROR(VLOOKUP(J53,MGMT_RULE!$A:$G,7,FALSE),IFERROR(VLOOKUP(H53,RULE_MAIN!$A:$F,6,FALSE),IFERROR(VLOOKUP(I53,RULE_MAIN!$A:$F,6,FALSE),"관리자 확인"))))</x:f>
      </x:c>
      <x:c r="L53" s="5" t="str">
        <x:f>IF(A53="","",IF(K53="관리자 확인","DNC 차단",IF(ISNUMBER(SEARCH("후보",K53)),"관리자 확인",IFERROR(IF(MATCH(K53,PG_LIST!$A:$A,0)&gt;0,"DNC 가능","Program 파일 없음"),"Program 파일 없음"))))</x:f>
      </x:c>
      <x:c r="M53" s="6" t="str">
        <x:f>IF(A53="","",IF(COUNTIF(MGMT_RULE!$A:$A,J53)&gt;0,"관리번호 전용 RULE",IF(COUNTIF(RULE_MAIN!$A:$A,H53)&gt;0,"정확 RULE",IF(COUNTIF(RULE_MAIN!$A:$A,I53)&gt;0,"ANY RULE","확정 RULE 필요"))))</x:f>
      </x:c>
      <x:c r="N53" s="6" t="str">
        <x:f t="shared" si="6"/>
      </x:c>
      <x:c r="O53" s="6" t="str">
        <x:f t="shared" si="7"/>
      </x:c>
    </x:row>
    <x:row r="54">
      <x:c r="A54" s="2"/>
      <x:c r="B54" s="2"/>
      <x:c r="C54" s="2"/>
      <x:c r="D54" s="2"/>
      <x:c r="E54" s="3" t="str">
        <x:f t="shared" si="0"/>
      </x:c>
      <x:c r="F54" s="3" t="str">
        <x:f t="shared" si="1"/>
      </x:c>
      <x:c r="G54" s="3" t="str">
        <x:f t="shared" si="2"/>
        <x:v>OMS2 확인</x:v>
      </x:c>
      <x:c r="H54" s="3" t="str">
        <x:f t="shared" si="3"/>
      </x:c>
      <x:c r="I54" s="3" t="str">
        <x:f t="shared" si="4"/>
      </x:c>
      <x:c r="J54" s="3" t="str">
        <x:f t="shared" si="5"/>
      </x:c>
      <x:c r="K54" s="4" t="str">
        <x:f>IF(A54="","",IFERROR(VLOOKUP(J54,MGMT_RULE!$A:$G,7,FALSE),IFERROR(VLOOKUP(H54,RULE_MAIN!$A:$F,6,FALSE),IFERROR(VLOOKUP(I54,RULE_MAIN!$A:$F,6,FALSE),"관리자 확인"))))</x:f>
      </x:c>
      <x:c r="L54" s="5" t="str">
        <x:f>IF(A54="","",IF(K54="관리자 확인","DNC 차단",IF(ISNUMBER(SEARCH("후보",K54)),"관리자 확인",IFERROR(IF(MATCH(K54,PG_LIST!$A:$A,0)&gt;0,"DNC 가능","Program 파일 없음"),"Program 파일 없음"))))</x:f>
      </x:c>
      <x:c r="M54" s="6" t="str">
        <x:f>IF(A54="","",IF(COUNTIF(MGMT_RULE!$A:$A,J54)&gt;0,"관리번호 전용 RULE",IF(COUNTIF(RULE_MAIN!$A:$A,H54)&gt;0,"정확 RULE",IF(COUNTIF(RULE_MAIN!$A:$A,I54)&gt;0,"ANY RULE","확정 RULE 필요"))))</x:f>
      </x:c>
      <x:c r="N54" s="6" t="str">
        <x:f t="shared" si="6"/>
      </x:c>
      <x:c r="O54" s="6" t="str">
        <x:f t="shared" si="7"/>
      </x:c>
    </x:row>
    <x:row r="55">
      <x:c r="A55" s="2"/>
      <x:c r="B55" s="2"/>
      <x:c r="C55" s="2"/>
      <x:c r="D55" s="2"/>
      <x:c r="E55" s="3" t="str">
        <x:f t="shared" si="0"/>
      </x:c>
      <x:c r="F55" s="3" t="str">
        <x:f t="shared" si="1"/>
      </x:c>
      <x:c r="G55" s="3" t="str">
        <x:f t="shared" si="2"/>
        <x:v>OMS2 확인</x:v>
      </x:c>
      <x:c r="H55" s="3" t="str">
        <x:f t="shared" si="3"/>
      </x:c>
      <x:c r="I55" s="3" t="str">
        <x:f t="shared" si="4"/>
      </x:c>
      <x:c r="J55" s="3" t="str">
        <x:f t="shared" si="5"/>
      </x:c>
      <x:c r="K55" s="4" t="str">
        <x:f>IF(A55="","",IFERROR(VLOOKUP(J55,MGMT_RULE!$A:$G,7,FALSE),IFERROR(VLOOKUP(H55,RULE_MAIN!$A:$F,6,FALSE),IFERROR(VLOOKUP(I55,RULE_MAIN!$A:$F,6,FALSE),"관리자 확인"))))</x:f>
      </x:c>
      <x:c r="L55" s="5" t="str">
        <x:f>IF(A55="","",IF(K55="관리자 확인","DNC 차단",IF(ISNUMBER(SEARCH("후보",K55)),"관리자 확인",IFERROR(IF(MATCH(K55,PG_LIST!$A:$A,0)&gt;0,"DNC 가능","Program 파일 없음"),"Program 파일 없음"))))</x:f>
      </x:c>
      <x:c r="M55" s="6" t="str">
        <x:f>IF(A55="","",IF(COUNTIF(MGMT_RULE!$A:$A,J55)&gt;0,"관리번호 전용 RULE",IF(COUNTIF(RULE_MAIN!$A:$A,H55)&gt;0,"정확 RULE",IF(COUNTIF(RULE_MAIN!$A:$A,I55)&gt;0,"ANY RULE","확정 RULE 필요"))))</x:f>
      </x:c>
      <x:c r="N55" s="6" t="str">
        <x:f t="shared" si="6"/>
      </x:c>
      <x:c r="O55" s="6" t="str">
        <x:f t="shared" si="7"/>
      </x:c>
    </x:row>
    <x:row r="56">
      <x:c r="A56" s="2"/>
      <x:c r="B56" s="2"/>
      <x:c r="C56" s="2"/>
      <x:c r="D56" s="2"/>
      <x:c r="E56" s="3" t="str">
        <x:f t="shared" si="0"/>
      </x:c>
      <x:c r="F56" s="3" t="str">
        <x:f t="shared" si="1"/>
      </x:c>
      <x:c r="G56" s="3" t="str">
        <x:f t="shared" si="2"/>
        <x:v>OMS2 확인</x:v>
      </x:c>
      <x:c r="H56" s="3" t="str">
        <x:f t="shared" si="3"/>
      </x:c>
      <x:c r="I56" s="3" t="str">
        <x:f t="shared" si="4"/>
      </x:c>
      <x:c r="J56" s="3" t="str">
        <x:f t="shared" si="5"/>
      </x:c>
      <x:c r="K56" s="4" t="str">
        <x:f>IF(A56="","",IFERROR(VLOOKUP(J56,MGMT_RULE!$A:$G,7,FALSE),IFERROR(VLOOKUP(H56,RULE_MAIN!$A:$F,6,FALSE),IFERROR(VLOOKUP(I56,RULE_MAIN!$A:$F,6,FALSE),"관리자 확인"))))</x:f>
      </x:c>
      <x:c r="L56" s="5" t="str">
        <x:f>IF(A56="","",IF(K56="관리자 확인","DNC 차단",IF(ISNUMBER(SEARCH("후보",K56)),"관리자 확인",IFERROR(IF(MATCH(K56,PG_LIST!$A:$A,0)&gt;0,"DNC 가능","Program 파일 없음"),"Program 파일 없음"))))</x:f>
      </x:c>
      <x:c r="M56" s="6" t="str">
        <x:f>IF(A56="","",IF(COUNTIF(MGMT_RULE!$A:$A,J56)&gt;0,"관리번호 전용 RULE",IF(COUNTIF(RULE_MAIN!$A:$A,H56)&gt;0,"정확 RULE",IF(COUNTIF(RULE_MAIN!$A:$A,I56)&gt;0,"ANY RULE","확정 RULE 필요"))))</x:f>
      </x:c>
      <x:c r="N56" s="6" t="str">
        <x:f t="shared" si="6"/>
      </x:c>
      <x:c r="O56" s="6" t="str">
        <x:f t="shared" si="7"/>
      </x:c>
    </x:row>
    <x:row r="57">
      <x:c r="A57" s="2"/>
      <x:c r="B57" s="2"/>
      <x:c r="C57" s="2"/>
      <x:c r="D57" s="2"/>
      <x:c r="E57" s="3" t="str">
        <x:f t="shared" si="0"/>
      </x:c>
      <x:c r="F57" s="3" t="str">
        <x:f t="shared" si="1"/>
      </x:c>
      <x:c r="G57" s="3" t="str">
        <x:f t="shared" si="2"/>
        <x:v>OMS2 확인</x:v>
      </x:c>
      <x:c r="H57" s="3" t="str">
        <x:f t="shared" si="3"/>
      </x:c>
      <x:c r="I57" s="3" t="str">
        <x:f t="shared" si="4"/>
      </x:c>
      <x:c r="J57" s="3" t="str">
        <x:f t="shared" si="5"/>
      </x:c>
      <x:c r="K57" s="4" t="str">
        <x:f>IF(A57="","",IFERROR(VLOOKUP(J57,MGMT_RULE!$A:$G,7,FALSE),IFERROR(VLOOKUP(H57,RULE_MAIN!$A:$F,6,FALSE),IFERROR(VLOOKUP(I57,RULE_MAIN!$A:$F,6,FALSE),"관리자 확인"))))</x:f>
      </x:c>
      <x:c r="L57" s="5" t="str">
        <x:f>IF(A57="","",IF(K57="관리자 확인","DNC 차단",IF(ISNUMBER(SEARCH("후보",K57)),"관리자 확인",IFERROR(IF(MATCH(K57,PG_LIST!$A:$A,0)&gt;0,"DNC 가능","Program 파일 없음"),"Program 파일 없음"))))</x:f>
      </x:c>
      <x:c r="M57" s="6" t="str">
        <x:f>IF(A57="","",IF(COUNTIF(MGMT_RULE!$A:$A,J57)&gt;0,"관리번호 전용 RULE",IF(COUNTIF(RULE_MAIN!$A:$A,H57)&gt;0,"정확 RULE",IF(COUNTIF(RULE_MAIN!$A:$A,I57)&gt;0,"ANY RULE","확정 RULE 필요"))))</x:f>
      </x:c>
      <x:c r="N57" s="6" t="str">
        <x:f t="shared" si="6"/>
      </x:c>
      <x:c r="O57" s="6" t="str">
        <x:f t="shared" si="7"/>
      </x:c>
    </x:row>
    <x:row r="58">
      <x:c r="A58" s="2"/>
      <x:c r="B58" s="2"/>
      <x:c r="C58" s="2"/>
      <x:c r="D58" s="2"/>
      <x:c r="E58" s="3" t="str">
        <x:f t="shared" si="0"/>
      </x:c>
      <x:c r="F58" s="3" t="str">
        <x:f t="shared" si="1"/>
      </x:c>
      <x:c r="G58" s="3" t="str">
        <x:f t="shared" si="2"/>
        <x:v>OMS2 확인</x:v>
      </x:c>
      <x:c r="H58" s="3" t="str">
        <x:f t="shared" si="3"/>
      </x:c>
      <x:c r="I58" s="3" t="str">
        <x:f t="shared" si="4"/>
      </x:c>
      <x:c r="J58" s="3" t="str">
        <x:f t="shared" si="5"/>
      </x:c>
      <x:c r="K58" s="4" t="str">
        <x:f>IF(A58="","",IFERROR(VLOOKUP(J58,MGMT_RULE!$A:$G,7,FALSE),IFERROR(VLOOKUP(H58,RULE_MAIN!$A:$F,6,FALSE),IFERROR(VLOOKUP(I58,RULE_MAIN!$A:$F,6,FALSE),"관리자 확인"))))</x:f>
      </x:c>
      <x:c r="L58" s="5" t="str">
        <x:f>IF(A58="","",IF(K58="관리자 확인","DNC 차단",IF(ISNUMBER(SEARCH("후보",K58)),"관리자 확인",IFERROR(IF(MATCH(K58,PG_LIST!$A:$A,0)&gt;0,"DNC 가능","Program 파일 없음"),"Program 파일 없음"))))</x:f>
      </x:c>
      <x:c r="M58" s="6" t="str">
        <x:f>IF(A58="","",IF(COUNTIF(MGMT_RULE!$A:$A,J58)&gt;0,"관리번호 전용 RULE",IF(COUNTIF(RULE_MAIN!$A:$A,H58)&gt;0,"정확 RULE",IF(COUNTIF(RULE_MAIN!$A:$A,I58)&gt;0,"ANY RULE","확정 RULE 필요"))))</x:f>
      </x:c>
      <x:c r="N58" s="6" t="str">
        <x:f t="shared" si="6"/>
      </x:c>
      <x:c r="O58" s="6" t="str">
        <x:f t="shared" si="7"/>
      </x:c>
    </x:row>
    <x:row r="59">
      <x:c r="A59" s="2"/>
      <x:c r="B59" s="2"/>
      <x:c r="C59" s="2"/>
      <x:c r="D59" s="2"/>
      <x:c r="E59" s="3" t="str">
        <x:f t="shared" si="0"/>
      </x:c>
      <x:c r="F59" s="3" t="str">
        <x:f t="shared" si="1"/>
      </x:c>
      <x:c r="G59" s="3" t="str">
        <x:f t="shared" si="2"/>
        <x:v>OMS2 확인</x:v>
      </x:c>
      <x:c r="H59" s="3" t="str">
        <x:f t="shared" si="3"/>
      </x:c>
      <x:c r="I59" s="3" t="str">
        <x:f t="shared" si="4"/>
      </x:c>
      <x:c r="J59" s="3" t="str">
        <x:f t="shared" si="5"/>
      </x:c>
      <x:c r="K59" s="4" t="str">
        <x:f>IF(A59="","",IFERROR(VLOOKUP(J59,MGMT_RULE!$A:$G,7,FALSE),IFERROR(VLOOKUP(H59,RULE_MAIN!$A:$F,6,FALSE),IFERROR(VLOOKUP(I59,RULE_MAIN!$A:$F,6,FALSE),"관리자 확인"))))</x:f>
      </x:c>
      <x:c r="L59" s="5" t="str">
        <x:f>IF(A59="","",IF(K59="관리자 확인","DNC 차단",IF(ISNUMBER(SEARCH("후보",K59)),"관리자 확인",IFERROR(IF(MATCH(K59,PG_LIST!$A:$A,0)&gt;0,"DNC 가능","Program 파일 없음"),"Program 파일 없음"))))</x:f>
      </x:c>
      <x:c r="M59" s="6" t="str">
        <x:f>IF(A59="","",IF(COUNTIF(MGMT_RULE!$A:$A,J59)&gt;0,"관리번호 전용 RULE",IF(COUNTIF(RULE_MAIN!$A:$A,H59)&gt;0,"정확 RULE",IF(COUNTIF(RULE_MAIN!$A:$A,I59)&gt;0,"ANY RULE","확정 RULE 필요"))))</x:f>
      </x:c>
      <x:c r="N59" s="6" t="str">
        <x:f t="shared" si="6"/>
      </x:c>
      <x:c r="O59" s="6" t="str">
        <x:f t="shared" si="7"/>
      </x:c>
    </x:row>
    <x:row r="60">
      <x:c r="A60" s="2"/>
      <x:c r="B60" s="2"/>
      <x:c r="C60" s="2"/>
      <x:c r="D60" s="2"/>
      <x:c r="E60" s="3" t="str">
        <x:f t="shared" si="0"/>
      </x:c>
      <x:c r="F60" s="3" t="str">
        <x:f t="shared" si="1"/>
      </x:c>
      <x:c r="G60" s="3" t="str">
        <x:f t="shared" si="2"/>
        <x:v>OMS2 확인</x:v>
      </x:c>
      <x:c r="H60" s="3" t="str">
        <x:f t="shared" si="3"/>
      </x:c>
      <x:c r="I60" s="3" t="str">
        <x:f t="shared" si="4"/>
      </x:c>
      <x:c r="J60" s="3" t="str">
        <x:f t="shared" si="5"/>
      </x:c>
      <x:c r="K60" s="4" t="str">
        <x:f>IF(A60="","",IFERROR(VLOOKUP(J60,MGMT_RULE!$A:$G,7,FALSE),IFERROR(VLOOKUP(H60,RULE_MAIN!$A:$F,6,FALSE),IFERROR(VLOOKUP(I60,RULE_MAIN!$A:$F,6,FALSE),"관리자 확인"))))</x:f>
      </x:c>
      <x:c r="L60" s="5" t="str">
        <x:f>IF(A60="","",IF(K60="관리자 확인","DNC 차단",IF(ISNUMBER(SEARCH("후보",K60)),"관리자 확인",IFERROR(IF(MATCH(K60,PG_LIST!$A:$A,0)&gt;0,"DNC 가능","Program 파일 없음"),"Program 파일 없음"))))</x:f>
      </x:c>
      <x:c r="M60" s="6" t="str">
        <x:f>IF(A60="","",IF(COUNTIF(MGMT_RULE!$A:$A,J60)&gt;0,"관리번호 전용 RULE",IF(COUNTIF(RULE_MAIN!$A:$A,H60)&gt;0,"정확 RULE",IF(COUNTIF(RULE_MAIN!$A:$A,I60)&gt;0,"ANY RULE","확정 RULE 필요"))))</x:f>
      </x:c>
      <x:c r="N60" s="6" t="str">
        <x:f t="shared" si="6"/>
      </x:c>
      <x:c r="O60" s="6" t="str">
        <x:f t="shared" si="7"/>
      </x:c>
    </x:row>
    <x:row r="61">
      <x:c r="A61" s="2"/>
      <x:c r="B61" s="2"/>
      <x:c r="C61" s="2"/>
      <x:c r="D61" s="2"/>
      <x:c r="E61" s="3" t="str">
        <x:f t="shared" si="0"/>
      </x:c>
      <x:c r="F61" s="3" t="str">
        <x:f t="shared" si="1"/>
      </x:c>
      <x:c r="G61" s="3" t="str">
        <x:f t="shared" si="2"/>
        <x:v>OMS2 확인</x:v>
      </x:c>
      <x:c r="H61" s="3" t="str">
        <x:f t="shared" si="3"/>
      </x:c>
      <x:c r="I61" s="3" t="str">
        <x:f t="shared" si="4"/>
      </x:c>
      <x:c r="J61" s="3" t="str">
        <x:f t="shared" si="5"/>
      </x:c>
      <x:c r="K61" s="4" t="str">
        <x:f>IF(A61="","",IFERROR(VLOOKUP(J61,MGMT_RULE!$A:$G,7,FALSE),IFERROR(VLOOKUP(H61,RULE_MAIN!$A:$F,6,FALSE),IFERROR(VLOOKUP(I61,RULE_MAIN!$A:$F,6,FALSE),"관리자 확인"))))</x:f>
      </x:c>
      <x:c r="L61" s="5" t="str">
        <x:f>IF(A61="","",IF(K61="관리자 확인","DNC 차단",IF(ISNUMBER(SEARCH("후보",K61)),"관리자 확인",IFERROR(IF(MATCH(K61,PG_LIST!$A:$A,0)&gt;0,"DNC 가능","Program 파일 없음"),"Program 파일 없음"))))</x:f>
      </x:c>
      <x:c r="M61" s="6" t="str">
        <x:f>IF(A61="","",IF(COUNTIF(MGMT_RULE!$A:$A,J61)&gt;0,"관리번호 전용 RULE",IF(COUNTIF(RULE_MAIN!$A:$A,H61)&gt;0,"정확 RULE",IF(COUNTIF(RULE_MAIN!$A:$A,I61)&gt;0,"ANY RULE","확정 RULE 필요"))))</x:f>
      </x:c>
      <x:c r="N61" s="6" t="str">
        <x:f t="shared" si="6"/>
      </x:c>
      <x:c r="O61" s="6" t="str">
        <x:f t="shared" si="7"/>
      </x:c>
    </x:row>
    <x:row r="62">
      <x:c r="A62" s="2"/>
      <x:c r="B62" s="2"/>
      <x:c r="C62" s="2"/>
      <x:c r="D62" s="2"/>
      <x:c r="E62" s="3" t="str">
        <x:f t="shared" si="0"/>
      </x:c>
      <x:c r="F62" s="3" t="str">
        <x:f t="shared" si="1"/>
      </x:c>
      <x:c r="G62" s="3" t="str">
        <x:f t="shared" si="2"/>
        <x:v>OMS2 확인</x:v>
      </x:c>
      <x:c r="H62" s="3" t="str">
        <x:f t="shared" si="3"/>
      </x:c>
      <x:c r="I62" s="3" t="str">
        <x:f t="shared" si="4"/>
      </x:c>
      <x:c r="J62" s="3" t="str">
        <x:f t="shared" si="5"/>
      </x:c>
      <x:c r="K62" s="4" t="str">
        <x:f>IF(A62="","",IFERROR(VLOOKUP(J62,MGMT_RULE!$A:$G,7,FALSE),IFERROR(VLOOKUP(H62,RULE_MAIN!$A:$F,6,FALSE),IFERROR(VLOOKUP(I62,RULE_MAIN!$A:$F,6,FALSE),"관리자 확인"))))</x:f>
      </x:c>
      <x:c r="L62" s="5" t="str">
        <x:f>IF(A62="","",IF(K62="관리자 확인","DNC 차단",IF(ISNUMBER(SEARCH("후보",K62)),"관리자 확인",IFERROR(IF(MATCH(K62,PG_LIST!$A:$A,0)&gt;0,"DNC 가능","Program 파일 없음"),"Program 파일 없음"))))</x:f>
      </x:c>
      <x:c r="M62" s="6" t="str">
        <x:f>IF(A62="","",IF(COUNTIF(MGMT_RULE!$A:$A,J62)&gt;0,"관리번호 전용 RULE",IF(COUNTIF(RULE_MAIN!$A:$A,H62)&gt;0,"정확 RULE",IF(COUNTIF(RULE_MAIN!$A:$A,I62)&gt;0,"ANY RULE","확정 RULE 필요"))))</x:f>
      </x:c>
      <x:c r="N62" s="6" t="str">
        <x:f t="shared" si="6"/>
      </x:c>
      <x:c r="O62" s="6" t="str">
        <x:f t="shared" si="7"/>
      </x:c>
    </x:row>
    <x:row r="63">
      <x:c r="A63" s="2"/>
      <x:c r="B63" s="2"/>
      <x:c r="C63" s="2"/>
      <x:c r="D63" s="2"/>
      <x:c r="E63" s="3" t="str">
        <x:f t="shared" si="0"/>
      </x:c>
      <x:c r="F63" s="3" t="str">
        <x:f t="shared" si="1"/>
      </x:c>
      <x:c r="G63" s="3" t="str">
        <x:f t="shared" si="2"/>
        <x:v>OMS2 확인</x:v>
      </x:c>
      <x:c r="H63" s="3" t="str">
        <x:f t="shared" si="3"/>
      </x:c>
      <x:c r="I63" s="3" t="str">
        <x:f t="shared" si="4"/>
      </x:c>
      <x:c r="J63" s="3" t="str">
        <x:f t="shared" si="5"/>
      </x:c>
      <x:c r="K63" s="4" t="str">
        <x:f>IF(A63="","",IFERROR(VLOOKUP(J63,MGMT_RULE!$A:$G,7,FALSE),IFERROR(VLOOKUP(H63,RULE_MAIN!$A:$F,6,FALSE),IFERROR(VLOOKUP(I63,RULE_MAIN!$A:$F,6,FALSE),"관리자 확인"))))</x:f>
      </x:c>
      <x:c r="L63" s="5" t="str">
        <x:f>IF(A63="","",IF(K63="관리자 확인","DNC 차단",IF(ISNUMBER(SEARCH("후보",K63)),"관리자 확인",IFERROR(IF(MATCH(K63,PG_LIST!$A:$A,0)&gt;0,"DNC 가능","Program 파일 없음"),"Program 파일 없음"))))</x:f>
      </x:c>
      <x:c r="M63" s="6" t="str">
        <x:f>IF(A63="","",IF(COUNTIF(MGMT_RULE!$A:$A,J63)&gt;0,"관리번호 전용 RULE",IF(COUNTIF(RULE_MAIN!$A:$A,H63)&gt;0,"정확 RULE",IF(COUNTIF(RULE_MAIN!$A:$A,I63)&gt;0,"ANY RULE","확정 RULE 필요"))))</x:f>
      </x:c>
      <x:c r="N63" s="6" t="str">
        <x:f t="shared" si="6"/>
      </x:c>
      <x:c r="O63" s="6" t="str">
        <x:f t="shared" si="7"/>
      </x:c>
    </x:row>
    <x:row r="64">
      <x:c r="A64" s="2"/>
      <x:c r="B64" s="2"/>
      <x:c r="C64" s="2"/>
      <x:c r="D64" s="2"/>
      <x:c r="E64" s="3" t="str">
        <x:f t="shared" si="0"/>
      </x:c>
      <x:c r="F64" s="3" t="str">
        <x:f t="shared" si="1"/>
      </x:c>
      <x:c r="G64" s="3" t="str">
        <x:f t="shared" si="2"/>
        <x:v>OMS2 확인</x:v>
      </x:c>
      <x:c r="H64" s="3" t="str">
        <x:f t="shared" si="3"/>
      </x:c>
      <x:c r="I64" s="3" t="str">
        <x:f t="shared" si="4"/>
      </x:c>
      <x:c r="J64" s="3" t="str">
        <x:f t="shared" si="5"/>
      </x:c>
      <x:c r="K64" s="4" t="str">
        <x:f>IF(A64="","",IFERROR(VLOOKUP(J64,MGMT_RULE!$A:$G,7,FALSE),IFERROR(VLOOKUP(H64,RULE_MAIN!$A:$F,6,FALSE),IFERROR(VLOOKUP(I64,RULE_MAIN!$A:$F,6,FALSE),"관리자 확인"))))</x:f>
      </x:c>
      <x:c r="L64" s="5" t="str">
        <x:f>IF(A64="","",IF(K64="관리자 확인","DNC 차단",IF(ISNUMBER(SEARCH("후보",K64)),"관리자 확인",IFERROR(IF(MATCH(K64,PG_LIST!$A:$A,0)&gt;0,"DNC 가능","Program 파일 없음"),"Program 파일 없음"))))</x:f>
      </x:c>
      <x:c r="M64" s="6" t="str">
        <x:f>IF(A64="","",IF(COUNTIF(MGMT_RULE!$A:$A,J64)&gt;0,"관리번호 전용 RULE",IF(COUNTIF(RULE_MAIN!$A:$A,H64)&gt;0,"정확 RULE",IF(COUNTIF(RULE_MAIN!$A:$A,I64)&gt;0,"ANY RULE","확정 RULE 필요"))))</x:f>
      </x:c>
      <x:c r="N64" s="6" t="str">
        <x:f t="shared" si="6"/>
      </x:c>
      <x:c r="O64" s="6" t="str">
        <x:f t="shared" si="7"/>
      </x:c>
    </x:row>
    <x:row r="65">
      <x:c r="A65" s="2"/>
      <x:c r="B65" s="2"/>
      <x:c r="C65" s="2"/>
      <x:c r="D65" s="2"/>
      <x:c r="E65" s="3" t="str">
        <x:f t="shared" si="0"/>
      </x:c>
      <x:c r="F65" s="3" t="str">
        <x:f t="shared" si="1"/>
      </x:c>
      <x:c r="G65" s="3" t="str">
        <x:f t="shared" si="2"/>
        <x:v>OMS2 확인</x:v>
      </x:c>
      <x:c r="H65" s="3" t="str">
        <x:f t="shared" si="3"/>
      </x:c>
      <x:c r="I65" s="3" t="str">
        <x:f t="shared" si="4"/>
      </x:c>
      <x:c r="J65" s="3" t="str">
        <x:f t="shared" si="5"/>
      </x:c>
      <x:c r="K65" s="4" t="str">
        <x:f>IF(A65="","",IFERROR(VLOOKUP(J65,MGMT_RULE!$A:$G,7,FALSE),IFERROR(VLOOKUP(H65,RULE_MAIN!$A:$F,6,FALSE),IFERROR(VLOOKUP(I65,RULE_MAIN!$A:$F,6,FALSE),"관리자 확인"))))</x:f>
      </x:c>
      <x:c r="L65" s="5" t="str">
        <x:f>IF(A65="","",IF(K65="관리자 확인","DNC 차단",IF(ISNUMBER(SEARCH("후보",K65)),"관리자 확인",IFERROR(IF(MATCH(K65,PG_LIST!$A:$A,0)&gt;0,"DNC 가능","Program 파일 없음"),"Program 파일 없음"))))</x:f>
      </x:c>
      <x:c r="M65" s="6" t="str">
        <x:f>IF(A65="","",IF(COUNTIF(MGMT_RULE!$A:$A,J65)&gt;0,"관리번호 전용 RULE",IF(COUNTIF(RULE_MAIN!$A:$A,H65)&gt;0,"정확 RULE",IF(COUNTIF(RULE_MAIN!$A:$A,I65)&gt;0,"ANY RULE","확정 RULE 필요"))))</x:f>
      </x:c>
      <x:c r="N65" s="6" t="str">
        <x:f t="shared" si="6"/>
      </x:c>
      <x:c r="O65" s="6" t="str">
        <x:f t="shared" si="7"/>
      </x:c>
    </x:row>
    <x:row r="66">
      <x:c r="A66" s="2"/>
      <x:c r="B66" s="2"/>
      <x:c r="C66" s="2"/>
      <x:c r="D66" s="2"/>
      <x:c r="E66" s="3" t="str">
        <x:f t="shared" si="0"/>
      </x:c>
      <x:c r="F66" s="3" t="str">
        <x:f t="shared" si="1"/>
      </x:c>
      <x:c r="G66" s="3" t="str">
        <x:f t="shared" si="2"/>
        <x:v>OMS2 확인</x:v>
      </x:c>
      <x:c r="H66" s="3" t="str">
        <x:f t="shared" si="3"/>
      </x:c>
      <x:c r="I66" s="3" t="str">
        <x:f t="shared" si="4"/>
      </x:c>
      <x:c r="J66" s="3" t="str">
        <x:f t="shared" si="5"/>
      </x:c>
      <x:c r="K66" s="4" t="str">
        <x:f>IF(A66="","",IFERROR(VLOOKUP(J66,MGMT_RULE!$A:$G,7,FALSE),IFERROR(VLOOKUP(H66,RULE_MAIN!$A:$F,6,FALSE),IFERROR(VLOOKUP(I66,RULE_MAIN!$A:$F,6,FALSE),"관리자 확인"))))</x:f>
      </x:c>
      <x:c r="L66" s="5" t="str">
        <x:f>IF(A66="","",IF(K66="관리자 확인","DNC 차단",IF(ISNUMBER(SEARCH("후보",K66)),"관리자 확인",IFERROR(IF(MATCH(K66,PG_LIST!$A:$A,0)&gt;0,"DNC 가능","Program 파일 없음"),"Program 파일 없음"))))</x:f>
      </x:c>
      <x:c r="M66" s="6" t="str">
        <x:f>IF(A66="","",IF(COUNTIF(MGMT_RULE!$A:$A,J66)&gt;0,"관리번호 전용 RULE",IF(COUNTIF(RULE_MAIN!$A:$A,H66)&gt;0,"정확 RULE",IF(COUNTIF(RULE_MAIN!$A:$A,I66)&gt;0,"ANY RULE","확정 RULE 필요"))))</x:f>
      </x:c>
      <x:c r="N66" s="6" t="str">
        <x:f t="shared" si="6"/>
      </x:c>
      <x:c r="O66" s="6" t="str">
        <x:f t="shared" si="7"/>
      </x:c>
    </x:row>
    <x:row r="67">
      <x:c r="A67" s="2"/>
      <x:c r="B67" s="2"/>
      <x:c r="C67" s="2"/>
      <x:c r="D67" s="2"/>
      <x:c r="E67" s="3" t="str">
        <x:f t="shared" si="0"/>
      </x:c>
      <x:c r="F67" s="3" t="str">
        <x:f t="shared" si="1"/>
      </x:c>
      <x:c r="G67" s="3" t="str">
        <x:f t="shared" si="2"/>
        <x:v>OMS2 확인</x:v>
      </x:c>
      <x:c r="H67" s="3" t="str">
        <x:f t="shared" si="3"/>
      </x:c>
      <x:c r="I67" s="3" t="str">
        <x:f t="shared" si="4"/>
      </x:c>
      <x:c r="J67" s="3" t="str">
        <x:f t="shared" si="5"/>
      </x:c>
      <x:c r="K67" s="4" t="str">
        <x:f>IF(A67="","",IFERROR(VLOOKUP(J67,MGMT_RULE!$A:$G,7,FALSE),IFERROR(VLOOKUP(H67,RULE_MAIN!$A:$F,6,FALSE),IFERROR(VLOOKUP(I67,RULE_MAIN!$A:$F,6,FALSE),"관리자 확인"))))</x:f>
      </x:c>
      <x:c r="L67" s="5" t="str">
        <x:f>IF(A67="","",IF(K67="관리자 확인","DNC 차단",IF(ISNUMBER(SEARCH("후보",K67)),"관리자 확인",IFERROR(IF(MATCH(K67,PG_LIST!$A:$A,0)&gt;0,"DNC 가능","Program 파일 없음"),"Program 파일 없음"))))</x:f>
      </x:c>
      <x:c r="M67" s="6" t="str">
        <x:f>IF(A67="","",IF(COUNTIF(MGMT_RULE!$A:$A,J67)&gt;0,"관리번호 전용 RULE",IF(COUNTIF(RULE_MAIN!$A:$A,H67)&gt;0,"정확 RULE",IF(COUNTIF(RULE_MAIN!$A:$A,I67)&gt;0,"ANY RULE","확정 RULE 필요"))))</x:f>
      </x:c>
      <x:c r="N67" s="6" t="str">
        <x:f t="shared" si="6"/>
      </x:c>
      <x:c r="O67" s="6" t="str">
        <x:f t="shared" si="7"/>
      </x:c>
    </x:row>
    <x:row r="68">
      <x:c r="A68" s="2"/>
      <x:c r="B68" s="2"/>
      <x:c r="C68" s="2"/>
      <x:c r="D68" s="2"/>
      <x:c r="E68" s="3" t="str">
        <x:f t="shared" ref="E68:E131" si="8">IF(A68="","",LEFT(A68,3))</x:f>
      </x:c>
      <x:c r="F68" s="3" t="str">
        <x:f t="shared" ref="F68:F131" si="9">IF(C68="","",IF(ISNUMBER(SEARCH("415 516",C68)),"415-516",IF(ISNUMBER(SEARCH("415 515",C68)),"415-515",IF(ISNUMBER(SEARCH("413 513",C68)),"413-513",IF(ISNUMBER(SEARCH("411 512",C68)),"411-512","SIZE 확인")))))</x:f>
      </x:c>
      <x:c r="G68" s="3" t="str">
        <x:f t="shared" ref="G68:G131" si="10">IF(D68="","OMS2 확인",IF(OR(ISNUMBER(SEARCH("우측10",D68)),ISNUMBER(SEARCH("우측 10",D68))),"우측10mm",IF(ISNUMBER(SEARCH("방향홀",D68)),"방향홀",IF(ISNUMBER(SEARCH("후가공(2차)",D68)),"후가공(2차)",IF(ISNUMBER(SEARCH("후가공(1차)",D68)),"후가공(1차)",IF(ISNUMBER(SEARCH("센터",D68)),"CENTER",IF(ISNUMBER(SEARCH("SIZE 유의",D68)),"주의문구","OMS2 확인")))))))</x:f>
        <x:v>OMS2 확인</x:v>
      </x:c>
      <x:c r="H68" s="3" t="str">
        <x:f t="shared" ref="H68:H131" si="11">IF(A68="","",E68&amp;"|"&amp;B68&amp;"|"&amp;F68&amp;"|"&amp;G68)</x:f>
      </x:c>
      <x:c r="I68" s="3" t="str">
        <x:f t="shared" ref="I68:I131" si="12">IF(A68="","",E68&amp;"|"&amp;B68&amp;"|"&amp;F68&amp;"|ANY")</x:f>
      </x:c>
      <x:c r="J68" s="3" t="str">
        <x:f t="shared" ref="J68:J131" si="13">IF(A68="","",A68&amp;"|"&amp;B68&amp;"|"&amp;F68&amp;"|"&amp;G68)</x:f>
      </x:c>
      <x:c r="K68" s="4" t="str">
        <x:f>IF(A68="","",IFERROR(VLOOKUP(J68,MGMT_RULE!$A:$G,7,FALSE),IFERROR(VLOOKUP(H68,RULE_MAIN!$A:$F,6,FALSE),IFERROR(VLOOKUP(I68,RULE_MAIN!$A:$F,6,FALSE),"관리자 확인"))))</x:f>
      </x:c>
      <x:c r="L68" s="5" t="str">
        <x:f>IF(A68="","",IF(K68="관리자 확인","DNC 차단",IF(ISNUMBER(SEARCH("후보",K68)),"관리자 확인",IFERROR(IF(MATCH(K68,PG_LIST!$A:$A,0)&gt;0,"DNC 가능","Program 파일 없음"),"Program 파일 없음"))))</x:f>
      </x:c>
      <x:c r="M68" s="6" t="str">
        <x:f>IF(A68="","",IF(COUNTIF(MGMT_RULE!$A:$A,J68)&gt;0,"관리번호 전용 RULE",IF(COUNTIF(RULE_MAIN!$A:$A,H68)&gt;0,"정확 RULE",IF(COUNTIF(RULE_MAIN!$A:$A,I68)&gt;0,"ANY RULE","확정 RULE 필요"))))</x:f>
      </x:c>
      <x:c r="N68" s="6" t="str">
        <x:f t="shared" ref="N68:N131" si="14">IF(A68="","",IF(ISNUMBER(SEARCH("후보",K68)),"동일 조건 Program 후보 2개 이상",IF(K68="관리자 확인","조건 미등록","")))</x:f>
      </x:c>
      <x:c r="O68" s="6" t="str">
        <x:f t="shared" ref="O68:O131" si="15">IF(A68="","",IF(OR(F68="SIZE 확인",G68="OMS2 확인"),"OMS 문구 확인 필요",""))</x:f>
      </x:c>
    </x:row>
    <x:row r="69">
      <x:c r="A69" s="2"/>
      <x:c r="B69" s="2"/>
      <x:c r="C69" s="2"/>
      <x:c r="D69" s="2"/>
      <x:c r="E69" s="3" t="str">
        <x:f t="shared" si="8"/>
      </x:c>
      <x:c r="F69" s="3" t="str">
        <x:f t="shared" si="9"/>
      </x:c>
      <x:c r="G69" s="3" t="str">
        <x:f t="shared" si="10"/>
        <x:v>OMS2 확인</x:v>
      </x:c>
      <x:c r="H69" s="3" t="str">
        <x:f t="shared" si="11"/>
      </x:c>
      <x:c r="I69" s="3" t="str">
        <x:f t="shared" si="12"/>
      </x:c>
      <x:c r="J69" s="3" t="str">
        <x:f t="shared" si="13"/>
      </x:c>
      <x:c r="K69" s="4" t="str">
        <x:f>IF(A69="","",IFERROR(VLOOKUP(J69,MGMT_RULE!$A:$G,7,FALSE),IFERROR(VLOOKUP(H69,RULE_MAIN!$A:$F,6,FALSE),IFERROR(VLOOKUP(I69,RULE_MAIN!$A:$F,6,FALSE),"관리자 확인"))))</x:f>
      </x:c>
      <x:c r="L69" s="5" t="str">
        <x:f>IF(A69="","",IF(K69="관리자 확인","DNC 차단",IF(ISNUMBER(SEARCH("후보",K69)),"관리자 확인",IFERROR(IF(MATCH(K69,PG_LIST!$A:$A,0)&gt;0,"DNC 가능","Program 파일 없음"),"Program 파일 없음"))))</x:f>
      </x:c>
      <x:c r="M69" s="6" t="str">
        <x:f>IF(A69="","",IF(COUNTIF(MGMT_RULE!$A:$A,J69)&gt;0,"관리번호 전용 RULE",IF(COUNTIF(RULE_MAIN!$A:$A,H69)&gt;0,"정확 RULE",IF(COUNTIF(RULE_MAIN!$A:$A,I69)&gt;0,"ANY RULE","확정 RULE 필요"))))</x:f>
      </x:c>
      <x:c r="N69" s="6" t="str">
        <x:f t="shared" si="14"/>
      </x:c>
      <x:c r="O69" s="6" t="str">
        <x:f t="shared" si="15"/>
      </x:c>
    </x:row>
    <x:row r="70">
      <x:c r="A70" s="2"/>
      <x:c r="B70" s="2"/>
      <x:c r="C70" s="2"/>
      <x:c r="D70" s="2"/>
      <x:c r="E70" s="3" t="str">
        <x:f t="shared" si="8"/>
      </x:c>
      <x:c r="F70" s="3" t="str">
        <x:f t="shared" si="9"/>
      </x:c>
      <x:c r="G70" s="3" t="str">
        <x:f t="shared" si="10"/>
        <x:v>OMS2 확인</x:v>
      </x:c>
      <x:c r="H70" s="3" t="str">
        <x:f t="shared" si="11"/>
      </x:c>
      <x:c r="I70" s="3" t="str">
        <x:f t="shared" si="12"/>
      </x:c>
      <x:c r="J70" s="3" t="str">
        <x:f t="shared" si="13"/>
      </x:c>
      <x:c r="K70" s="4" t="str">
        <x:f>IF(A70="","",IFERROR(VLOOKUP(J70,MGMT_RULE!$A:$G,7,FALSE),IFERROR(VLOOKUP(H70,RULE_MAIN!$A:$F,6,FALSE),IFERROR(VLOOKUP(I70,RULE_MAIN!$A:$F,6,FALSE),"관리자 확인"))))</x:f>
      </x:c>
      <x:c r="L70" s="5" t="str">
        <x:f>IF(A70="","",IF(K70="관리자 확인","DNC 차단",IF(ISNUMBER(SEARCH("후보",K70)),"관리자 확인",IFERROR(IF(MATCH(K70,PG_LIST!$A:$A,0)&gt;0,"DNC 가능","Program 파일 없음"),"Program 파일 없음"))))</x:f>
      </x:c>
      <x:c r="M70" s="6" t="str">
        <x:f>IF(A70="","",IF(COUNTIF(MGMT_RULE!$A:$A,J70)&gt;0,"관리번호 전용 RULE",IF(COUNTIF(RULE_MAIN!$A:$A,H70)&gt;0,"정확 RULE",IF(COUNTIF(RULE_MAIN!$A:$A,I70)&gt;0,"ANY RULE","확정 RULE 필요"))))</x:f>
      </x:c>
      <x:c r="N70" s="6" t="str">
        <x:f t="shared" si="14"/>
      </x:c>
      <x:c r="O70" s="6" t="str">
        <x:f t="shared" si="15"/>
      </x:c>
    </x:row>
    <x:row r="71">
      <x:c r="A71" s="2"/>
      <x:c r="B71" s="2"/>
      <x:c r="C71" s="2"/>
      <x:c r="D71" s="2"/>
      <x:c r="E71" s="3" t="str">
        <x:f t="shared" si="8"/>
      </x:c>
      <x:c r="F71" s="3" t="str">
        <x:f t="shared" si="9"/>
      </x:c>
      <x:c r="G71" s="3" t="str">
        <x:f t="shared" si="10"/>
        <x:v>OMS2 확인</x:v>
      </x:c>
      <x:c r="H71" s="3" t="str">
        <x:f t="shared" si="11"/>
      </x:c>
      <x:c r="I71" s="3" t="str">
        <x:f t="shared" si="12"/>
      </x:c>
      <x:c r="J71" s="3" t="str">
        <x:f t="shared" si="13"/>
      </x:c>
      <x:c r="K71" s="4" t="str">
        <x:f>IF(A71="","",IFERROR(VLOOKUP(J71,MGMT_RULE!$A:$G,7,FALSE),IFERROR(VLOOKUP(H71,RULE_MAIN!$A:$F,6,FALSE),IFERROR(VLOOKUP(I71,RULE_MAIN!$A:$F,6,FALSE),"관리자 확인"))))</x:f>
      </x:c>
      <x:c r="L71" s="5" t="str">
        <x:f>IF(A71="","",IF(K71="관리자 확인","DNC 차단",IF(ISNUMBER(SEARCH("후보",K71)),"관리자 확인",IFERROR(IF(MATCH(K71,PG_LIST!$A:$A,0)&gt;0,"DNC 가능","Program 파일 없음"),"Program 파일 없음"))))</x:f>
      </x:c>
      <x:c r="M71" s="6" t="str">
        <x:f>IF(A71="","",IF(COUNTIF(MGMT_RULE!$A:$A,J71)&gt;0,"관리번호 전용 RULE",IF(COUNTIF(RULE_MAIN!$A:$A,H71)&gt;0,"정확 RULE",IF(COUNTIF(RULE_MAIN!$A:$A,I71)&gt;0,"ANY RULE","확정 RULE 필요"))))</x:f>
      </x:c>
      <x:c r="N71" s="6" t="str">
        <x:f t="shared" si="14"/>
      </x:c>
      <x:c r="O71" s="6" t="str">
        <x:f t="shared" si="15"/>
      </x:c>
    </x:row>
    <x:row r="72">
      <x:c r="A72" s="2"/>
      <x:c r="B72" s="2"/>
      <x:c r="C72" s="2"/>
      <x:c r="D72" s="2"/>
      <x:c r="E72" s="3" t="str">
        <x:f t="shared" si="8"/>
      </x:c>
      <x:c r="F72" s="3" t="str">
        <x:f t="shared" si="9"/>
      </x:c>
      <x:c r="G72" s="3" t="str">
        <x:f t="shared" si="10"/>
        <x:v>OMS2 확인</x:v>
      </x:c>
      <x:c r="H72" s="3" t="str">
        <x:f t="shared" si="11"/>
      </x:c>
      <x:c r="I72" s="3" t="str">
        <x:f t="shared" si="12"/>
      </x:c>
      <x:c r="J72" s="3" t="str">
        <x:f t="shared" si="13"/>
      </x:c>
      <x:c r="K72" s="4" t="str">
        <x:f>IF(A72="","",IFERROR(VLOOKUP(J72,MGMT_RULE!$A:$G,7,FALSE),IFERROR(VLOOKUP(H72,RULE_MAIN!$A:$F,6,FALSE),IFERROR(VLOOKUP(I72,RULE_MAIN!$A:$F,6,FALSE),"관리자 확인"))))</x:f>
      </x:c>
      <x:c r="L72" s="5" t="str">
        <x:f>IF(A72="","",IF(K72="관리자 확인","DNC 차단",IF(ISNUMBER(SEARCH("후보",K72)),"관리자 확인",IFERROR(IF(MATCH(K72,PG_LIST!$A:$A,0)&gt;0,"DNC 가능","Program 파일 없음"),"Program 파일 없음"))))</x:f>
      </x:c>
      <x:c r="M72" s="6" t="str">
        <x:f>IF(A72="","",IF(COUNTIF(MGMT_RULE!$A:$A,J72)&gt;0,"관리번호 전용 RULE",IF(COUNTIF(RULE_MAIN!$A:$A,H72)&gt;0,"정확 RULE",IF(COUNTIF(RULE_MAIN!$A:$A,I72)&gt;0,"ANY RULE","확정 RULE 필요"))))</x:f>
      </x:c>
      <x:c r="N72" s="6" t="str">
        <x:f t="shared" si="14"/>
      </x:c>
      <x:c r="O72" s="6" t="str">
        <x:f t="shared" si="15"/>
      </x:c>
    </x:row>
    <x:row r="73">
      <x:c r="A73" s="2"/>
      <x:c r="B73" s="2"/>
      <x:c r="C73" s="2"/>
      <x:c r="D73" s="2"/>
      <x:c r="E73" s="3" t="str">
        <x:f t="shared" si="8"/>
      </x:c>
      <x:c r="F73" s="3" t="str">
        <x:f t="shared" si="9"/>
      </x:c>
      <x:c r="G73" s="3" t="str">
        <x:f t="shared" si="10"/>
        <x:v>OMS2 확인</x:v>
      </x:c>
      <x:c r="H73" s="3" t="str">
        <x:f t="shared" si="11"/>
      </x:c>
      <x:c r="I73" s="3" t="str">
        <x:f t="shared" si="12"/>
      </x:c>
      <x:c r="J73" s="3" t="str">
        <x:f t="shared" si="13"/>
      </x:c>
      <x:c r="K73" s="4" t="str">
        <x:f>IF(A73="","",IFERROR(VLOOKUP(J73,MGMT_RULE!$A:$G,7,FALSE),IFERROR(VLOOKUP(H73,RULE_MAIN!$A:$F,6,FALSE),IFERROR(VLOOKUP(I73,RULE_MAIN!$A:$F,6,FALSE),"관리자 확인"))))</x:f>
      </x:c>
      <x:c r="L73" s="5" t="str">
        <x:f>IF(A73="","",IF(K73="관리자 확인","DNC 차단",IF(ISNUMBER(SEARCH("후보",K73)),"관리자 확인",IFERROR(IF(MATCH(K73,PG_LIST!$A:$A,0)&gt;0,"DNC 가능","Program 파일 없음"),"Program 파일 없음"))))</x:f>
      </x:c>
      <x:c r="M73" s="6" t="str">
        <x:f>IF(A73="","",IF(COUNTIF(MGMT_RULE!$A:$A,J73)&gt;0,"관리번호 전용 RULE",IF(COUNTIF(RULE_MAIN!$A:$A,H73)&gt;0,"정확 RULE",IF(COUNTIF(RULE_MAIN!$A:$A,I73)&gt;0,"ANY RULE","확정 RULE 필요"))))</x:f>
      </x:c>
      <x:c r="N73" s="6" t="str">
        <x:f t="shared" si="14"/>
      </x:c>
      <x:c r="O73" s="6" t="str">
        <x:f t="shared" si="15"/>
      </x:c>
    </x:row>
    <x:row r="74">
      <x:c r="A74" s="2"/>
      <x:c r="B74" s="2"/>
      <x:c r="C74" s="2"/>
      <x:c r="D74" s="2"/>
      <x:c r="E74" s="3" t="str">
        <x:f t="shared" si="8"/>
      </x:c>
      <x:c r="F74" s="3" t="str">
        <x:f t="shared" si="9"/>
      </x:c>
      <x:c r="G74" s="3" t="str">
        <x:f t="shared" si="10"/>
        <x:v>OMS2 확인</x:v>
      </x:c>
      <x:c r="H74" s="3" t="str">
        <x:f t="shared" si="11"/>
      </x:c>
      <x:c r="I74" s="3" t="str">
        <x:f t="shared" si="12"/>
      </x:c>
      <x:c r="J74" s="3" t="str">
        <x:f t="shared" si="13"/>
      </x:c>
      <x:c r="K74" s="4" t="str">
        <x:f>IF(A74="","",IFERROR(VLOOKUP(J74,MGMT_RULE!$A:$G,7,FALSE),IFERROR(VLOOKUP(H74,RULE_MAIN!$A:$F,6,FALSE),IFERROR(VLOOKUP(I74,RULE_MAIN!$A:$F,6,FALSE),"관리자 확인"))))</x:f>
      </x:c>
      <x:c r="L74" s="5" t="str">
        <x:f>IF(A74="","",IF(K74="관리자 확인","DNC 차단",IF(ISNUMBER(SEARCH("후보",K74)),"관리자 확인",IFERROR(IF(MATCH(K74,PG_LIST!$A:$A,0)&gt;0,"DNC 가능","Program 파일 없음"),"Program 파일 없음"))))</x:f>
      </x:c>
      <x:c r="M74" s="6" t="str">
        <x:f>IF(A74="","",IF(COUNTIF(MGMT_RULE!$A:$A,J74)&gt;0,"관리번호 전용 RULE",IF(COUNTIF(RULE_MAIN!$A:$A,H74)&gt;0,"정확 RULE",IF(COUNTIF(RULE_MAIN!$A:$A,I74)&gt;0,"ANY RULE","확정 RULE 필요"))))</x:f>
      </x:c>
      <x:c r="N74" s="6" t="str">
        <x:f t="shared" si="14"/>
      </x:c>
      <x:c r="O74" s="6" t="str">
        <x:f t="shared" si="15"/>
      </x:c>
    </x:row>
    <x:row r="75">
      <x:c r="A75" s="2"/>
      <x:c r="B75" s="2"/>
      <x:c r="C75" s="2"/>
      <x:c r="D75" s="2"/>
      <x:c r="E75" s="3" t="str">
        <x:f t="shared" si="8"/>
      </x:c>
      <x:c r="F75" s="3" t="str">
        <x:f t="shared" si="9"/>
      </x:c>
      <x:c r="G75" s="3" t="str">
        <x:f t="shared" si="10"/>
        <x:v>OMS2 확인</x:v>
      </x:c>
      <x:c r="H75" s="3" t="str">
        <x:f t="shared" si="11"/>
      </x:c>
      <x:c r="I75" s="3" t="str">
        <x:f t="shared" si="12"/>
      </x:c>
      <x:c r="J75" s="3" t="str">
        <x:f t="shared" si="13"/>
      </x:c>
      <x:c r="K75" s="4" t="str">
        <x:f>IF(A75="","",IFERROR(VLOOKUP(J75,MGMT_RULE!$A:$G,7,FALSE),IFERROR(VLOOKUP(H75,RULE_MAIN!$A:$F,6,FALSE),IFERROR(VLOOKUP(I75,RULE_MAIN!$A:$F,6,FALSE),"관리자 확인"))))</x:f>
      </x:c>
      <x:c r="L75" s="5" t="str">
        <x:f>IF(A75="","",IF(K75="관리자 확인","DNC 차단",IF(ISNUMBER(SEARCH("후보",K75)),"관리자 확인",IFERROR(IF(MATCH(K75,PG_LIST!$A:$A,0)&gt;0,"DNC 가능","Program 파일 없음"),"Program 파일 없음"))))</x:f>
      </x:c>
      <x:c r="M75" s="6" t="str">
        <x:f>IF(A75="","",IF(COUNTIF(MGMT_RULE!$A:$A,J75)&gt;0,"관리번호 전용 RULE",IF(COUNTIF(RULE_MAIN!$A:$A,H75)&gt;0,"정확 RULE",IF(COUNTIF(RULE_MAIN!$A:$A,I75)&gt;0,"ANY RULE","확정 RULE 필요"))))</x:f>
      </x:c>
      <x:c r="N75" s="6" t="str">
        <x:f t="shared" si="14"/>
      </x:c>
      <x:c r="O75" s="6" t="str">
        <x:f t="shared" si="15"/>
      </x:c>
    </x:row>
    <x:row r="76">
      <x:c r="A76" s="2"/>
      <x:c r="B76" s="2"/>
      <x:c r="C76" s="2"/>
      <x:c r="D76" s="2"/>
      <x:c r="E76" s="3" t="str">
        <x:f t="shared" si="8"/>
      </x:c>
      <x:c r="F76" s="3" t="str">
        <x:f t="shared" si="9"/>
      </x:c>
      <x:c r="G76" s="3" t="str">
        <x:f t="shared" si="10"/>
        <x:v>OMS2 확인</x:v>
      </x:c>
      <x:c r="H76" s="3" t="str">
        <x:f t="shared" si="11"/>
      </x:c>
      <x:c r="I76" s="3" t="str">
        <x:f t="shared" si="12"/>
      </x:c>
      <x:c r="J76" s="3" t="str">
        <x:f t="shared" si="13"/>
      </x:c>
      <x:c r="K76" s="4" t="str">
        <x:f>IF(A76="","",IFERROR(VLOOKUP(J76,MGMT_RULE!$A:$G,7,FALSE),IFERROR(VLOOKUP(H76,RULE_MAIN!$A:$F,6,FALSE),IFERROR(VLOOKUP(I76,RULE_MAIN!$A:$F,6,FALSE),"관리자 확인"))))</x:f>
      </x:c>
      <x:c r="L76" s="5" t="str">
        <x:f>IF(A76="","",IF(K76="관리자 확인","DNC 차단",IF(ISNUMBER(SEARCH("후보",K76)),"관리자 확인",IFERROR(IF(MATCH(K76,PG_LIST!$A:$A,0)&gt;0,"DNC 가능","Program 파일 없음"),"Program 파일 없음"))))</x:f>
      </x:c>
      <x:c r="M76" s="6" t="str">
        <x:f>IF(A76="","",IF(COUNTIF(MGMT_RULE!$A:$A,J76)&gt;0,"관리번호 전용 RULE",IF(COUNTIF(RULE_MAIN!$A:$A,H76)&gt;0,"정확 RULE",IF(COUNTIF(RULE_MAIN!$A:$A,I76)&gt;0,"ANY RULE","확정 RULE 필요"))))</x:f>
      </x:c>
      <x:c r="N76" s="6" t="str">
        <x:f t="shared" si="14"/>
      </x:c>
      <x:c r="O76" s="6" t="str">
        <x:f t="shared" si="15"/>
      </x:c>
    </x:row>
    <x:row r="77">
      <x:c r="A77" s="2"/>
      <x:c r="B77" s="2"/>
      <x:c r="C77" s="2"/>
      <x:c r="D77" s="2"/>
      <x:c r="E77" s="3" t="str">
        <x:f t="shared" si="8"/>
      </x:c>
      <x:c r="F77" s="3" t="str">
        <x:f t="shared" si="9"/>
      </x:c>
      <x:c r="G77" s="3" t="str">
        <x:f t="shared" si="10"/>
        <x:v>OMS2 확인</x:v>
      </x:c>
      <x:c r="H77" s="3" t="str">
        <x:f t="shared" si="11"/>
      </x:c>
      <x:c r="I77" s="3" t="str">
        <x:f t="shared" si="12"/>
      </x:c>
      <x:c r="J77" s="3" t="str">
        <x:f t="shared" si="13"/>
      </x:c>
      <x:c r="K77" s="4" t="str">
        <x:f>IF(A77="","",IFERROR(VLOOKUP(J77,MGMT_RULE!$A:$G,7,FALSE),IFERROR(VLOOKUP(H77,RULE_MAIN!$A:$F,6,FALSE),IFERROR(VLOOKUP(I77,RULE_MAIN!$A:$F,6,FALSE),"관리자 확인"))))</x:f>
      </x:c>
      <x:c r="L77" s="5" t="str">
        <x:f>IF(A77="","",IF(K77="관리자 확인","DNC 차단",IF(ISNUMBER(SEARCH("후보",K77)),"관리자 확인",IFERROR(IF(MATCH(K77,PG_LIST!$A:$A,0)&gt;0,"DNC 가능","Program 파일 없음"),"Program 파일 없음"))))</x:f>
      </x:c>
      <x:c r="M77" s="6" t="str">
        <x:f>IF(A77="","",IF(COUNTIF(MGMT_RULE!$A:$A,J77)&gt;0,"관리번호 전용 RULE",IF(COUNTIF(RULE_MAIN!$A:$A,H77)&gt;0,"정확 RULE",IF(COUNTIF(RULE_MAIN!$A:$A,I77)&gt;0,"ANY RULE","확정 RULE 필요"))))</x:f>
      </x:c>
      <x:c r="N77" s="6" t="str">
        <x:f t="shared" si="14"/>
      </x:c>
      <x:c r="O77" s="6" t="str">
        <x:f t="shared" si="15"/>
      </x:c>
    </x:row>
    <x:row r="78">
      <x:c r="A78" s="2"/>
      <x:c r="B78" s="2"/>
      <x:c r="C78" s="2"/>
      <x:c r="D78" s="2"/>
      <x:c r="E78" s="3" t="str">
        <x:f t="shared" si="8"/>
      </x:c>
      <x:c r="F78" s="3" t="str">
        <x:f t="shared" si="9"/>
      </x:c>
      <x:c r="G78" s="3" t="str">
        <x:f t="shared" si="10"/>
        <x:v>OMS2 확인</x:v>
      </x:c>
      <x:c r="H78" s="3" t="str">
        <x:f t="shared" si="11"/>
      </x:c>
      <x:c r="I78" s="3" t="str">
        <x:f t="shared" si="12"/>
      </x:c>
      <x:c r="J78" s="3" t="str">
        <x:f t="shared" si="13"/>
      </x:c>
      <x:c r="K78" s="4" t="str">
        <x:f>IF(A78="","",IFERROR(VLOOKUP(J78,MGMT_RULE!$A:$G,7,FALSE),IFERROR(VLOOKUP(H78,RULE_MAIN!$A:$F,6,FALSE),IFERROR(VLOOKUP(I78,RULE_MAIN!$A:$F,6,FALSE),"관리자 확인"))))</x:f>
      </x:c>
      <x:c r="L78" s="5" t="str">
        <x:f>IF(A78="","",IF(K78="관리자 확인","DNC 차단",IF(ISNUMBER(SEARCH("후보",K78)),"관리자 확인",IFERROR(IF(MATCH(K78,PG_LIST!$A:$A,0)&gt;0,"DNC 가능","Program 파일 없음"),"Program 파일 없음"))))</x:f>
      </x:c>
      <x:c r="M78" s="6" t="str">
        <x:f>IF(A78="","",IF(COUNTIF(MGMT_RULE!$A:$A,J78)&gt;0,"관리번호 전용 RULE",IF(COUNTIF(RULE_MAIN!$A:$A,H78)&gt;0,"정확 RULE",IF(COUNTIF(RULE_MAIN!$A:$A,I78)&gt;0,"ANY RULE","확정 RULE 필요"))))</x:f>
      </x:c>
      <x:c r="N78" s="6" t="str">
        <x:f t="shared" si="14"/>
      </x:c>
      <x:c r="O78" s="6" t="str">
        <x:f t="shared" si="15"/>
      </x:c>
    </x:row>
    <x:row r="79">
      <x:c r="A79" s="2"/>
      <x:c r="B79" s="2"/>
      <x:c r="C79" s="2"/>
      <x:c r="D79" s="2"/>
      <x:c r="E79" s="3" t="str">
        <x:f t="shared" si="8"/>
      </x:c>
      <x:c r="F79" s="3" t="str">
        <x:f t="shared" si="9"/>
      </x:c>
      <x:c r="G79" s="3" t="str">
        <x:f t="shared" si="10"/>
        <x:v>OMS2 확인</x:v>
      </x:c>
      <x:c r="H79" s="3" t="str">
        <x:f t="shared" si="11"/>
      </x:c>
      <x:c r="I79" s="3" t="str">
        <x:f t="shared" si="12"/>
      </x:c>
      <x:c r="J79" s="3" t="str">
        <x:f t="shared" si="13"/>
      </x:c>
      <x:c r="K79" s="4" t="str">
        <x:f>IF(A79="","",IFERROR(VLOOKUP(J79,MGMT_RULE!$A:$G,7,FALSE),IFERROR(VLOOKUP(H79,RULE_MAIN!$A:$F,6,FALSE),IFERROR(VLOOKUP(I79,RULE_MAIN!$A:$F,6,FALSE),"관리자 확인"))))</x:f>
      </x:c>
      <x:c r="L79" s="5" t="str">
        <x:f>IF(A79="","",IF(K79="관리자 확인","DNC 차단",IF(ISNUMBER(SEARCH("후보",K79)),"관리자 확인",IFERROR(IF(MATCH(K79,PG_LIST!$A:$A,0)&gt;0,"DNC 가능","Program 파일 없음"),"Program 파일 없음"))))</x:f>
      </x:c>
      <x:c r="M79" s="6" t="str">
        <x:f>IF(A79="","",IF(COUNTIF(MGMT_RULE!$A:$A,J79)&gt;0,"관리번호 전용 RULE",IF(COUNTIF(RULE_MAIN!$A:$A,H79)&gt;0,"정확 RULE",IF(COUNTIF(RULE_MAIN!$A:$A,I79)&gt;0,"ANY RULE","확정 RULE 필요"))))</x:f>
      </x:c>
      <x:c r="N79" s="6" t="str">
        <x:f t="shared" si="14"/>
      </x:c>
      <x:c r="O79" s="6" t="str">
        <x:f t="shared" si="15"/>
      </x:c>
    </x:row>
    <x:row r="80">
      <x:c r="A80" s="2"/>
      <x:c r="B80" s="2"/>
      <x:c r="C80" s="2"/>
      <x:c r="D80" s="2"/>
      <x:c r="E80" s="3" t="str">
        <x:f t="shared" si="8"/>
      </x:c>
      <x:c r="F80" s="3" t="str">
        <x:f t="shared" si="9"/>
      </x:c>
      <x:c r="G80" s="3" t="str">
        <x:f t="shared" si="10"/>
        <x:v>OMS2 확인</x:v>
      </x:c>
      <x:c r="H80" s="3" t="str">
        <x:f t="shared" si="11"/>
      </x:c>
      <x:c r="I80" s="3" t="str">
        <x:f t="shared" si="12"/>
      </x:c>
      <x:c r="J80" s="3" t="str">
        <x:f t="shared" si="13"/>
      </x:c>
      <x:c r="K80" s="4" t="str">
        <x:f>IF(A80="","",IFERROR(VLOOKUP(J80,MGMT_RULE!$A:$G,7,FALSE),IFERROR(VLOOKUP(H80,RULE_MAIN!$A:$F,6,FALSE),IFERROR(VLOOKUP(I80,RULE_MAIN!$A:$F,6,FALSE),"관리자 확인"))))</x:f>
      </x:c>
      <x:c r="L80" s="5" t="str">
        <x:f>IF(A80="","",IF(K80="관리자 확인","DNC 차단",IF(ISNUMBER(SEARCH("후보",K80)),"관리자 확인",IFERROR(IF(MATCH(K80,PG_LIST!$A:$A,0)&gt;0,"DNC 가능","Program 파일 없음"),"Program 파일 없음"))))</x:f>
      </x:c>
      <x:c r="M80" s="6" t="str">
        <x:f>IF(A80="","",IF(COUNTIF(MGMT_RULE!$A:$A,J80)&gt;0,"관리번호 전용 RULE",IF(COUNTIF(RULE_MAIN!$A:$A,H80)&gt;0,"정확 RULE",IF(COUNTIF(RULE_MAIN!$A:$A,I80)&gt;0,"ANY RULE","확정 RULE 필요"))))</x:f>
      </x:c>
      <x:c r="N80" s="6" t="str">
        <x:f t="shared" si="14"/>
      </x:c>
      <x:c r="O80" s="6" t="str">
        <x:f t="shared" si="15"/>
      </x:c>
    </x:row>
    <x:row r="81">
      <x:c r="A81" s="2"/>
      <x:c r="B81" s="2"/>
      <x:c r="C81" s="2"/>
      <x:c r="D81" s="2"/>
      <x:c r="E81" s="3" t="str">
        <x:f t="shared" si="8"/>
      </x:c>
      <x:c r="F81" s="3" t="str">
        <x:f t="shared" si="9"/>
      </x:c>
      <x:c r="G81" s="3" t="str">
        <x:f t="shared" si="10"/>
        <x:v>OMS2 확인</x:v>
      </x:c>
      <x:c r="H81" s="3" t="str">
        <x:f t="shared" si="11"/>
      </x:c>
      <x:c r="I81" s="3" t="str">
        <x:f t="shared" si="12"/>
      </x:c>
      <x:c r="J81" s="3" t="str">
        <x:f t="shared" si="13"/>
      </x:c>
      <x:c r="K81" s="4" t="str">
        <x:f>IF(A81="","",IFERROR(VLOOKUP(J81,MGMT_RULE!$A:$G,7,FALSE),IFERROR(VLOOKUP(H81,RULE_MAIN!$A:$F,6,FALSE),IFERROR(VLOOKUP(I81,RULE_MAIN!$A:$F,6,FALSE),"관리자 확인"))))</x:f>
      </x:c>
      <x:c r="L81" s="5" t="str">
        <x:f>IF(A81="","",IF(K81="관리자 확인","DNC 차단",IF(ISNUMBER(SEARCH("후보",K81)),"관리자 확인",IFERROR(IF(MATCH(K81,PG_LIST!$A:$A,0)&gt;0,"DNC 가능","Program 파일 없음"),"Program 파일 없음"))))</x:f>
      </x:c>
      <x:c r="M81" s="6" t="str">
        <x:f>IF(A81="","",IF(COUNTIF(MGMT_RULE!$A:$A,J81)&gt;0,"관리번호 전용 RULE",IF(COUNTIF(RULE_MAIN!$A:$A,H81)&gt;0,"정확 RULE",IF(COUNTIF(RULE_MAIN!$A:$A,I81)&gt;0,"ANY RULE","확정 RULE 필요"))))</x:f>
      </x:c>
      <x:c r="N81" s="6" t="str">
        <x:f t="shared" si="14"/>
      </x:c>
      <x:c r="O81" s="6" t="str">
        <x:f t="shared" si="15"/>
      </x:c>
    </x:row>
    <x:row r="82">
      <x:c r="A82" s="2"/>
      <x:c r="B82" s="2"/>
      <x:c r="C82" s="2"/>
      <x:c r="D82" s="2"/>
      <x:c r="E82" s="3" t="str">
        <x:f t="shared" si="8"/>
      </x:c>
      <x:c r="F82" s="3" t="str">
        <x:f t="shared" si="9"/>
      </x:c>
      <x:c r="G82" s="3" t="str">
        <x:f t="shared" si="10"/>
        <x:v>OMS2 확인</x:v>
      </x:c>
      <x:c r="H82" s="3" t="str">
        <x:f t="shared" si="11"/>
      </x:c>
      <x:c r="I82" s="3" t="str">
        <x:f t="shared" si="12"/>
      </x:c>
      <x:c r="J82" s="3" t="str">
        <x:f t="shared" si="13"/>
      </x:c>
      <x:c r="K82" s="4" t="str">
        <x:f>IF(A82="","",IFERROR(VLOOKUP(J82,MGMT_RULE!$A:$G,7,FALSE),IFERROR(VLOOKUP(H82,RULE_MAIN!$A:$F,6,FALSE),IFERROR(VLOOKUP(I82,RULE_MAIN!$A:$F,6,FALSE),"관리자 확인"))))</x:f>
      </x:c>
      <x:c r="L82" s="5" t="str">
        <x:f>IF(A82="","",IF(K82="관리자 확인","DNC 차단",IF(ISNUMBER(SEARCH("후보",K82)),"관리자 확인",IFERROR(IF(MATCH(K82,PG_LIST!$A:$A,0)&gt;0,"DNC 가능","Program 파일 없음"),"Program 파일 없음"))))</x:f>
      </x:c>
      <x:c r="M82" s="6" t="str">
        <x:f>IF(A82="","",IF(COUNTIF(MGMT_RULE!$A:$A,J82)&gt;0,"관리번호 전용 RULE",IF(COUNTIF(RULE_MAIN!$A:$A,H82)&gt;0,"정확 RULE",IF(COUNTIF(RULE_MAIN!$A:$A,I82)&gt;0,"ANY RULE","확정 RULE 필요"))))</x:f>
      </x:c>
      <x:c r="N82" s="6" t="str">
        <x:f t="shared" si="14"/>
      </x:c>
      <x:c r="O82" s="6" t="str">
        <x:f t="shared" si="15"/>
      </x:c>
    </x:row>
    <x:row r="83">
      <x:c r="A83" s="2"/>
      <x:c r="B83" s="2"/>
      <x:c r="C83" s="2"/>
      <x:c r="D83" s="2"/>
      <x:c r="E83" s="3" t="str">
        <x:f t="shared" si="8"/>
      </x:c>
      <x:c r="F83" s="3" t="str">
        <x:f t="shared" si="9"/>
      </x:c>
      <x:c r="G83" s="3" t="str">
        <x:f t="shared" si="10"/>
        <x:v>OMS2 확인</x:v>
      </x:c>
      <x:c r="H83" s="3" t="str">
        <x:f t="shared" si="11"/>
      </x:c>
      <x:c r="I83" s="3" t="str">
        <x:f t="shared" si="12"/>
      </x:c>
      <x:c r="J83" s="3" t="str">
        <x:f t="shared" si="13"/>
      </x:c>
      <x:c r="K83" s="4" t="str">
        <x:f>IF(A83="","",IFERROR(VLOOKUP(J83,MGMT_RULE!$A:$G,7,FALSE),IFERROR(VLOOKUP(H83,RULE_MAIN!$A:$F,6,FALSE),IFERROR(VLOOKUP(I83,RULE_MAIN!$A:$F,6,FALSE),"관리자 확인"))))</x:f>
      </x:c>
      <x:c r="L83" s="5" t="str">
        <x:f>IF(A83="","",IF(K83="관리자 확인","DNC 차단",IF(ISNUMBER(SEARCH("후보",K83)),"관리자 확인",IFERROR(IF(MATCH(K83,PG_LIST!$A:$A,0)&gt;0,"DNC 가능","Program 파일 없음"),"Program 파일 없음"))))</x:f>
      </x:c>
      <x:c r="M83" s="6" t="str">
        <x:f>IF(A83="","",IF(COUNTIF(MGMT_RULE!$A:$A,J83)&gt;0,"관리번호 전용 RULE",IF(COUNTIF(RULE_MAIN!$A:$A,H83)&gt;0,"정확 RULE",IF(COUNTIF(RULE_MAIN!$A:$A,I83)&gt;0,"ANY RULE","확정 RULE 필요"))))</x:f>
      </x:c>
      <x:c r="N83" s="6" t="str">
        <x:f t="shared" si="14"/>
      </x:c>
      <x:c r="O83" s="6" t="str">
        <x:f t="shared" si="15"/>
      </x:c>
    </x:row>
    <x:row r="84">
      <x:c r="A84" s="2"/>
      <x:c r="B84" s="2"/>
      <x:c r="C84" s="2"/>
      <x:c r="D84" s="2"/>
      <x:c r="E84" s="3" t="str">
        <x:f t="shared" si="8"/>
      </x:c>
      <x:c r="F84" s="3" t="str">
        <x:f t="shared" si="9"/>
      </x:c>
      <x:c r="G84" s="3" t="str">
        <x:f t="shared" si="10"/>
        <x:v>OMS2 확인</x:v>
      </x:c>
      <x:c r="H84" s="3" t="str">
        <x:f t="shared" si="11"/>
      </x:c>
      <x:c r="I84" s="3" t="str">
        <x:f t="shared" si="12"/>
      </x:c>
      <x:c r="J84" s="3" t="str">
        <x:f t="shared" si="13"/>
      </x:c>
      <x:c r="K84" s="4" t="str">
        <x:f>IF(A84="","",IFERROR(VLOOKUP(J84,MGMT_RULE!$A:$G,7,FALSE),IFERROR(VLOOKUP(H84,RULE_MAIN!$A:$F,6,FALSE),IFERROR(VLOOKUP(I84,RULE_MAIN!$A:$F,6,FALSE),"관리자 확인"))))</x:f>
      </x:c>
      <x:c r="L84" s="5" t="str">
        <x:f>IF(A84="","",IF(K84="관리자 확인","DNC 차단",IF(ISNUMBER(SEARCH("후보",K84)),"관리자 확인",IFERROR(IF(MATCH(K84,PG_LIST!$A:$A,0)&gt;0,"DNC 가능","Program 파일 없음"),"Program 파일 없음"))))</x:f>
      </x:c>
      <x:c r="M84" s="6" t="str">
        <x:f>IF(A84="","",IF(COUNTIF(MGMT_RULE!$A:$A,J84)&gt;0,"관리번호 전용 RULE",IF(COUNTIF(RULE_MAIN!$A:$A,H84)&gt;0,"정확 RULE",IF(COUNTIF(RULE_MAIN!$A:$A,I84)&gt;0,"ANY RULE","확정 RULE 필요"))))</x:f>
      </x:c>
      <x:c r="N84" s="6" t="str">
        <x:f t="shared" si="14"/>
      </x:c>
      <x:c r="O84" s="6" t="str">
        <x:f t="shared" si="15"/>
      </x:c>
    </x:row>
    <x:row r="85">
      <x:c r="A85" s="2"/>
      <x:c r="B85" s="2"/>
      <x:c r="C85" s="2"/>
      <x:c r="D85" s="2"/>
      <x:c r="E85" s="3" t="str">
        <x:f t="shared" si="8"/>
      </x:c>
      <x:c r="F85" s="3" t="str">
        <x:f t="shared" si="9"/>
      </x:c>
      <x:c r="G85" s="3" t="str">
        <x:f t="shared" si="10"/>
        <x:v>OMS2 확인</x:v>
      </x:c>
      <x:c r="H85" s="3" t="str">
        <x:f t="shared" si="11"/>
      </x:c>
      <x:c r="I85" s="3" t="str">
        <x:f t="shared" si="12"/>
      </x:c>
      <x:c r="J85" s="3" t="str">
        <x:f t="shared" si="13"/>
      </x:c>
      <x:c r="K85" s="4" t="str">
        <x:f>IF(A85="","",IFERROR(VLOOKUP(J85,MGMT_RULE!$A:$G,7,FALSE),IFERROR(VLOOKUP(H85,RULE_MAIN!$A:$F,6,FALSE),IFERROR(VLOOKUP(I85,RULE_MAIN!$A:$F,6,FALSE),"관리자 확인"))))</x:f>
      </x:c>
      <x:c r="L85" s="5" t="str">
        <x:f>IF(A85="","",IF(K85="관리자 확인","DNC 차단",IF(ISNUMBER(SEARCH("후보",K85)),"관리자 확인",IFERROR(IF(MATCH(K85,PG_LIST!$A:$A,0)&gt;0,"DNC 가능","Program 파일 없음"),"Program 파일 없음"))))</x:f>
      </x:c>
      <x:c r="M85" s="6" t="str">
        <x:f>IF(A85="","",IF(COUNTIF(MGMT_RULE!$A:$A,J85)&gt;0,"관리번호 전용 RULE",IF(COUNTIF(RULE_MAIN!$A:$A,H85)&gt;0,"정확 RULE",IF(COUNTIF(RULE_MAIN!$A:$A,I85)&gt;0,"ANY RULE","확정 RULE 필요"))))</x:f>
      </x:c>
      <x:c r="N85" s="6" t="str">
        <x:f t="shared" si="14"/>
      </x:c>
      <x:c r="O85" s="6" t="str">
        <x:f t="shared" si="15"/>
      </x:c>
    </x:row>
    <x:row r="86">
      <x:c r="A86" s="2"/>
      <x:c r="B86" s="2"/>
      <x:c r="C86" s="2"/>
      <x:c r="D86" s="2"/>
      <x:c r="E86" s="3" t="str">
        <x:f t="shared" si="8"/>
      </x:c>
      <x:c r="F86" s="3" t="str">
        <x:f t="shared" si="9"/>
      </x:c>
      <x:c r="G86" s="3" t="str">
        <x:f t="shared" si="10"/>
        <x:v>OMS2 확인</x:v>
      </x:c>
      <x:c r="H86" s="3" t="str">
        <x:f t="shared" si="11"/>
      </x:c>
      <x:c r="I86" s="3" t="str">
        <x:f t="shared" si="12"/>
      </x:c>
      <x:c r="J86" s="3" t="str">
        <x:f t="shared" si="13"/>
      </x:c>
      <x:c r="K86" s="4" t="str">
        <x:f>IF(A86="","",IFERROR(VLOOKUP(J86,MGMT_RULE!$A:$G,7,FALSE),IFERROR(VLOOKUP(H86,RULE_MAIN!$A:$F,6,FALSE),IFERROR(VLOOKUP(I86,RULE_MAIN!$A:$F,6,FALSE),"관리자 확인"))))</x:f>
      </x:c>
      <x:c r="L86" s="5" t="str">
        <x:f>IF(A86="","",IF(K86="관리자 확인","DNC 차단",IF(ISNUMBER(SEARCH("후보",K86)),"관리자 확인",IFERROR(IF(MATCH(K86,PG_LIST!$A:$A,0)&gt;0,"DNC 가능","Program 파일 없음"),"Program 파일 없음"))))</x:f>
      </x:c>
      <x:c r="M86" s="6" t="str">
        <x:f>IF(A86="","",IF(COUNTIF(MGMT_RULE!$A:$A,J86)&gt;0,"관리번호 전용 RULE",IF(COUNTIF(RULE_MAIN!$A:$A,H86)&gt;0,"정확 RULE",IF(COUNTIF(RULE_MAIN!$A:$A,I86)&gt;0,"ANY RULE","확정 RULE 필요"))))</x:f>
      </x:c>
      <x:c r="N86" s="6" t="str">
        <x:f t="shared" si="14"/>
      </x:c>
      <x:c r="O86" s="6" t="str">
        <x:f t="shared" si="15"/>
      </x:c>
    </x:row>
    <x:row r="87">
      <x:c r="A87" s="2"/>
      <x:c r="B87" s="2"/>
      <x:c r="C87" s="2"/>
      <x:c r="D87" s="2"/>
      <x:c r="E87" s="3" t="str">
        <x:f t="shared" si="8"/>
      </x:c>
      <x:c r="F87" s="3" t="str">
        <x:f t="shared" si="9"/>
      </x:c>
      <x:c r="G87" s="3" t="str">
        <x:f t="shared" si="10"/>
        <x:v>OMS2 확인</x:v>
      </x:c>
      <x:c r="H87" s="3" t="str">
        <x:f t="shared" si="11"/>
      </x:c>
      <x:c r="I87" s="3" t="str">
        <x:f t="shared" si="12"/>
      </x:c>
      <x:c r="J87" s="3" t="str">
        <x:f t="shared" si="13"/>
      </x:c>
      <x:c r="K87" s="4" t="str">
        <x:f>IF(A87="","",IFERROR(VLOOKUP(J87,MGMT_RULE!$A:$G,7,FALSE),IFERROR(VLOOKUP(H87,RULE_MAIN!$A:$F,6,FALSE),IFERROR(VLOOKUP(I87,RULE_MAIN!$A:$F,6,FALSE),"관리자 확인"))))</x:f>
      </x:c>
      <x:c r="L87" s="5" t="str">
        <x:f>IF(A87="","",IF(K87="관리자 확인","DNC 차단",IF(ISNUMBER(SEARCH("후보",K87)),"관리자 확인",IFERROR(IF(MATCH(K87,PG_LIST!$A:$A,0)&gt;0,"DNC 가능","Program 파일 없음"),"Program 파일 없음"))))</x:f>
      </x:c>
      <x:c r="M87" s="6" t="str">
        <x:f>IF(A87="","",IF(COUNTIF(MGMT_RULE!$A:$A,J87)&gt;0,"관리번호 전용 RULE",IF(COUNTIF(RULE_MAIN!$A:$A,H87)&gt;0,"정확 RULE",IF(COUNTIF(RULE_MAIN!$A:$A,I87)&gt;0,"ANY RULE","확정 RULE 필요"))))</x:f>
      </x:c>
      <x:c r="N87" s="6" t="str">
        <x:f t="shared" si="14"/>
      </x:c>
      <x:c r="O87" s="6" t="str">
        <x:f t="shared" si="15"/>
      </x:c>
    </x:row>
    <x:row r="88">
      <x:c r="A88" s="2"/>
      <x:c r="B88" s="2"/>
      <x:c r="C88" s="2"/>
      <x:c r="D88" s="2"/>
      <x:c r="E88" s="3" t="str">
        <x:f t="shared" si="8"/>
      </x:c>
      <x:c r="F88" s="3" t="str">
        <x:f t="shared" si="9"/>
      </x:c>
      <x:c r="G88" s="3" t="str">
        <x:f t="shared" si="10"/>
        <x:v>OMS2 확인</x:v>
      </x:c>
      <x:c r="H88" s="3" t="str">
        <x:f t="shared" si="11"/>
      </x:c>
      <x:c r="I88" s="3" t="str">
        <x:f t="shared" si="12"/>
      </x:c>
      <x:c r="J88" s="3" t="str">
        <x:f t="shared" si="13"/>
      </x:c>
      <x:c r="K88" s="4" t="str">
        <x:f>IF(A88="","",IFERROR(VLOOKUP(J88,MGMT_RULE!$A:$G,7,FALSE),IFERROR(VLOOKUP(H88,RULE_MAIN!$A:$F,6,FALSE),IFERROR(VLOOKUP(I88,RULE_MAIN!$A:$F,6,FALSE),"관리자 확인"))))</x:f>
      </x:c>
      <x:c r="L88" s="5" t="str">
        <x:f>IF(A88="","",IF(K88="관리자 확인","DNC 차단",IF(ISNUMBER(SEARCH("후보",K88)),"관리자 확인",IFERROR(IF(MATCH(K88,PG_LIST!$A:$A,0)&gt;0,"DNC 가능","Program 파일 없음"),"Program 파일 없음"))))</x:f>
      </x:c>
      <x:c r="M88" s="6" t="str">
        <x:f>IF(A88="","",IF(COUNTIF(MGMT_RULE!$A:$A,J88)&gt;0,"관리번호 전용 RULE",IF(COUNTIF(RULE_MAIN!$A:$A,H88)&gt;0,"정확 RULE",IF(COUNTIF(RULE_MAIN!$A:$A,I88)&gt;0,"ANY RULE","확정 RULE 필요"))))</x:f>
      </x:c>
      <x:c r="N88" s="6" t="str">
        <x:f t="shared" si="14"/>
      </x:c>
      <x:c r="O88" s="6" t="str">
        <x:f t="shared" si="15"/>
      </x:c>
    </x:row>
    <x:row r="89">
      <x:c r="A89" s="2"/>
      <x:c r="B89" s="2"/>
      <x:c r="C89" s="2"/>
      <x:c r="D89" s="2"/>
      <x:c r="E89" s="3" t="str">
        <x:f t="shared" si="8"/>
      </x:c>
      <x:c r="F89" s="3" t="str">
        <x:f t="shared" si="9"/>
      </x:c>
      <x:c r="G89" s="3" t="str">
        <x:f t="shared" si="10"/>
        <x:v>OMS2 확인</x:v>
      </x:c>
      <x:c r="H89" s="3" t="str">
        <x:f t="shared" si="11"/>
      </x:c>
      <x:c r="I89" s="3" t="str">
        <x:f t="shared" si="12"/>
      </x:c>
      <x:c r="J89" s="3" t="str">
        <x:f t="shared" si="13"/>
      </x:c>
      <x:c r="K89" s="4" t="str">
        <x:f>IF(A89="","",IFERROR(VLOOKUP(J89,MGMT_RULE!$A:$G,7,FALSE),IFERROR(VLOOKUP(H89,RULE_MAIN!$A:$F,6,FALSE),IFERROR(VLOOKUP(I89,RULE_MAIN!$A:$F,6,FALSE),"관리자 확인"))))</x:f>
      </x:c>
      <x:c r="L89" s="5" t="str">
        <x:f>IF(A89="","",IF(K89="관리자 확인","DNC 차단",IF(ISNUMBER(SEARCH("후보",K89)),"관리자 확인",IFERROR(IF(MATCH(K89,PG_LIST!$A:$A,0)&gt;0,"DNC 가능","Program 파일 없음"),"Program 파일 없음"))))</x:f>
      </x:c>
      <x:c r="M89" s="6" t="str">
        <x:f>IF(A89="","",IF(COUNTIF(MGMT_RULE!$A:$A,J89)&gt;0,"관리번호 전용 RULE",IF(COUNTIF(RULE_MAIN!$A:$A,H89)&gt;0,"정확 RULE",IF(COUNTIF(RULE_MAIN!$A:$A,I89)&gt;0,"ANY RULE","확정 RULE 필요"))))</x:f>
      </x:c>
      <x:c r="N89" s="6" t="str">
        <x:f t="shared" si="14"/>
      </x:c>
      <x:c r="O89" s="6" t="str">
        <x:f t="shared" si="15"/>
      </x:c>
    </x:row>
    <x:row r="90">
      <x:c r="A90" s="2"/>
      <x:c r="B90" s="2"/>
      <x:c r="C90" s="2"/>
      <x:c r="D90" s="2"/>
      <x:c r="E90" s="3" t="str">
        <x:f t="shared" si="8"/>
      </x:c>
      <x:c r="F90" s="3" t="str">
        <x:f t="shared" si="9"/>
      </x:c>
      <x:c r="G90" s="3" t="str">
        <x:f t="shared" si="10"/>
        <x:v>OMS2 확인</x:v>
      </x:c>
      <x:c r="H90" s="3" t="str">
        <x:f t="shared" si="11"/>
      </x:c>
      <x:c r="I90" s="3" t="str">
        <x:f t="shared" si="12"/>
      </x:c>
      <x:c r="J90" s="3" t="str">
        <x:f t="shared" si="13"/>
      </x:c>
      <x:c r="K90" s="4" t="str">
        <x:f>IF(A90="","",IFERROR(VLOOKUP(J90,MGMT_RULE!$A:$G,7,FALSE),IFERROR(VLOOKUP(H90,RULE_MAIN!$A:$F,6,FALSE),IFERROR(VLOOKUP(I90,RULE_MAIN!$A:$F,6,FALSE),"관리자 확인"))))</x:f>
      </x:c>
      <x:c r="L90" s="5" t="str">
        <x:f>IF(A90="","",IF(K90="관리자 확인","DNC 차단",IF(ISNUMBER(SEARCH("후보",K90)),"관리자 확인",IFERROR(IF(MATCH(K90,PG_LIST!$A:$A,0)&gt;0,"DNC 가능","Program 파일 없음"),"Program 파일 없음"))))</x:f>
      </x:c>
      <x:c r="M90" s="6" t="str">
        <x:f>IF(A90="","",IF(COUNTIF(MGMT_RULE!$A:$A,J90)&gt;0,"관리번호 전용 RULE",IF(COUNTIF(RULE_MAIN!$A:$A,H90)&gt;0,"정확 RULE",IF(COUNTIF(RULE_MAIN!$A:$A,I90)&gt;0,"ANY RULE","확정 RULE 필요"))))</x:f>
      </x:c>
      <x:c r="N90" s="6" t="str">
        <x:f t="shared" si="14"/>
      </x:c>
      <x:c r="O90" s="6" t="str">
        <x:f t="shared" si="15"/>
      </x:c>
    </x:row>
    <x:row r="91">
      <x:c r="A91" s="2"/>
      <x:c r="B91" s="2"/>
      <x:c r="C91" s="2"/>
      <x:c r="D91" s="2"/>
      <x:c r="E91" s="3" t="str">
        <x:f t="shared" si="8"/>
      </x:c>
      <x:c r="F91" s="3" t="str">
        <x:f t="shared" si="9"/>
      </x:c>
      <x:c r="G91" s="3" t="str">
        <x:f t="shared" si="10"/>
        <x:v>OMS2 확인</x:v>
      </x:c>
      <x:c r="H91" s="3" t="str">
        <x:f t="shared" si="11"/>
      </x:c>
      <x:c r="I91" s="3" t="str">
        <x:f t="shared" si="12"/>
      </x:c>
      <x:c r="J91" s="3" t="str">
        <x:f t="shared" si="13"/>
      </x:c>
      <x:c r="K91" s="4" t="str">
        <x:f>IF(A91="","",IFERROR(VLOOKUP(J91,MGMT_RULE!$A:$G,7,FALSE),IFERROR(VLOOKUP(H91,RULE_MAIN!$A:$F,6,FALSE),IFERROR(VLOOKUP(I91,RULE_MAIN!$A:$F,6,FALSE),"관리자 확인"))))</x:f>
      </x:c>
      <x:c r="L91" s="5" t="str">
        <x:f>IF(A91="","",IF(K91="관리자 확인","DNC 차단",IF(ISNUMBER(SEARCH("후보",K91)),"관리자 확인",IFERROR(IF(MATCH(K91,PG_LIST!$A:$A,0)&gt;0,"DNC 가능","Program 파일 없음"),"Program 파일 없음"))))</x:f>
      </x:c>
      <x:c r="M91" s="6" t="str">
        <x:f>IF(A91="","",IF(COUNTIF(MGMT_RULE!$A:$A,J91)&gt;0,"관리번호 전용 RULE",IF(COUNTIF(RULE_MAIN!$A:$A,H91)&gt;0,"정확 RULE",IF(COUNTIF(RULE_MAIN!$A:$A,I91)&gt;0,"ANY RULE","확정 RULE 필요"))))</x:f>
      </x:c>
      <x:c r="N91" s="6" t="str">
        <x:f t="shared" si="14"/>
      </x:c>
      <x:c r="O91" s="6" t="str">
        <x:f t="shared" si="15"/>
      </x:c>
    </x:row>
    <x:row r="92">
      <x:c r="A92" s="2"/>
      <x:c r="B92" s="2"/>
      <x:c r="C92" s="2"/>
      <x:c r="D92" s="2"/>
      <x:c r="E92" s="3" t="str">
        <x:f t="shared" si="8"/>
      </x:c>
      <x:c r="F92" s="3" t="str">
        <x:f t="shared" si="9"/>
      </x:c>
      <x:c r="G92" s="3" t="str">
        <x:f t="shared" si="10"/>
        <x:v>OMS2 확인</x:v>
      </x:c>
      <x:c r="H92" s="3" t="str">
        <x:f t="shared" si="11"/>
      </x:c>
      <x:c r="I92" s="3" t="str">
        <x:f t="shared" si="12"/>
      </x:c>
      <x:c r="J92" s="3" t="str">
        <x:f t="shared" si="13"/>
      </x:c>
      <x:c r="K92" s="4" t="str">
        <x:f>IF(A92="","",IFERROR(VLOOKUP(J92,MGMT_RULE!$A:$G,7,FALSE),IFERROR(VLOOKUP(H92,RULE_MAIN!$A:$F,6,FALSE),IFERROR(VLOOKUP(I92,RULE_MAIN!$A:$F,6,FALSE),"관리자 확인"))))</x:f>
      </x:c>
      <x:c r="L92" s="5" t="str">
        <x:f>IF(A92="","",IF(K92="관리자 확인","DNC 차단",IF(ISNUMBER(SEARCH("후보",K92)),"관리자 확인",IFERROR(IF(MATCH(K92,PG_LIST!$A:$A,0)&gt;0,"DNC 가능","Program 파일 없음"),"Program 파일 없음"))))</x:f>
      </x:c>
      <x:c r="M92" s="6" t="str">
        <x:f>IF(A92="","",IF(COUNTIF(MGMT_RULE!$A:$A,J92)&gt;0,"관리번호 전용 RULE",IF(COUNTIF(RULE_MAIN!$A:$A,H92)&gt;0,"정확 RULE",IF(COUNTIF(RULE_MAIN!$A:$A,I92)&gt;0,"ANY RULE","확정 RULE 필요"))))</x:f>
      </x:c>
      <x:c r="N92" s="6" t="str">
        <x:f t="shared" si="14"/>
      </x:c>
      <x:c r="O92" s="6" t="str">
        <x:f t="shared" si="15"/>
      </x:c>
    </x:row>
    <x:row r="93">
      <x:c r="A93" s="2"/>
      <x:c r="B93" s="2"/>
      <x:c r="C93" s="2"/>
      <x:c r="D93" s="2"/>
      <x:c r="E93" s="3" t="str">
        <x:f t="shared" si="8"/>
      </x:c>
      <x:c r="F93" s="3" t="str">
        <x:f t="shared" si="9"/>
      </x:c>
      <x:c r="G93" s="3" t="str">
        <x:f t="shared" si="10"/>
        <x:v>OMS2 확인</x:v>
      </x:c>
      <x:c r="H93" s="3" t="str">
        <x:f t="shared" si="11"/>
      </x:c>
      <x:c r="I93" s="3" t="str">
        <x:f t="shared" si="12"/>
      </x:c>
      <x:c r="J93" s="3" t="str">
        <x:f t="shared" si="13"/>
      </x:c>
      <x:c r="K93" s="4" t="str">
        <x:f>IF(A93="","",IFERROR(VLOOKUP(J93,MGMT_RULE!$A:$G,7,FALSE),IFERROR(VLOOKUP(H93,RULE_MAIN!$A:$F,6,FALSE),IFERROR(VLOOKUP(I93,RULE_MAIN!$A:$F,6,FALSE),"관리자 확인"))))</x:f>
      </x:c>
      <x:c r="L93" s="5" t="str">
        <x:f>IF(A93="","",IF(K93="관리자 확인","DNC 차단",IF(ISNUMBER(SEARCH("후보",K93)),"관리자 확인",IFERROR(IF(MATCH(K93,PG_LIST!$A:$A,0)&gt;0,"DNC 가능","Program 파일 없음"),"Program 파일 없음"))))</x:f>
      </x:c>
      <x:c r="M93" s="6" t="str">
        <x:f>IF(A93="","",IF(COUNTIF(MGMT_RULE!$A:$A,J93)&gt;0,"관리번호 전용 RULE",IF(COUNTIF(RULE_MAIN!$A:$A,H93)&gt;0,"정확 RULE",IF(COUNTIF(RULE_MAIN!$A:$A,I93)&gt;0,"ANY RULE","확정 RULE 필요"))))</x:f>
      </x:c>
      <x:c r="N93" s="6" t="str">
        <x:f t="shared" si="14"/>
      </x:c>
      <x:c r="O93" s="6" t="str">
        <x:f t="shared" si="15"/>
      </x:c>
    </x:row>
    <x:row r="94">
      <x:c r="A94" s="2"/>
      <x:c r="B94" s="2"/>
      <x:c r="C94" s="2"/>
      <x:c r="D94" s="2"/>
      <x:c r="E94" s="3" t="str">
        <x:f t="shared" si="8"/>
      </x:c>
      <x:c r="F94" s="3" t="str">
        <x:f t="shared" si="9"/>
      </x:c>
      <x:c r="G94" s="3" t="str">
        <x:f t="shared" si="10"/>
        <x:v>OMS2 확인</x:v>
      </x:c>
      <x:c r="H94" s="3" t="str">
        <x:f t="shared" si="11"/>
      </x:c>
      <x:c r="I94" s="3" t="str">
        <x:f t="shared" si="12"/>
      </x:c>
      <x:c r="J94" s="3" t="str">
        <x:f t="shared" si="13"/>
      </x:c>
      <x:c r="K94" s="4" t="str">
        <x:f>IF(A94="","",IFERROR(VLOOKUP(J94,MGMT_RULE!$A:$G,7,FALSE),IFERROR(VLOOKUP(H94,RULE_MAIN!$A:$F,6,FALSE),IFERROR(VLOOKUP(I94,RULE_MAIN!$A:$F,6,FALSE),"관리자 확인"))))</x:f>
      </x:c>
      <x:c r="L94" s="5" t="str">
        <x:f>IF(A94="","",IF(K94="관리자 확인","DNC 차단",IF(ISNUMBER(SEARCH("후보",K94)),"관리자 확인",IFERROR(IF(MATCH(K94,PG_LIST!$A:$A,0)&gt;0,"DNC 가능","Program 파일 없음"),"Program 파일 없음"))))</x:f>
      </x:c>
      <x:c r="M94" s="6" t="str">
        <x:f>IF(A94="","",IF(COUNTIF(MGMT_RULE!$A:$A,J94)&gt;0,"관리번호 전용 RULE",IF(COUNTIF(RULE_MAIN!$A:$A,H94)&gt;0,"정확 RULE",IF(COUNTIF(RULE_MAIN!$A:$A,I94)&gt;0,"ANY RULE","확정 RULE 필요"))))</x:f>
      </x:c>
      <x:c r="N94" s="6" t="str">
        <x:f t="shared" si="14"/>
      </x:c>
      <x:c r="O94" s="6" t="str">
        <x:f t="shared" si="15"/>
      </x:c>
    </x:row>
    <x:row r="95">
      <x:c r="A95" s="2"/>
      <x:c r="B95" s="2"/>
      <x:c r="C95" s="2"/>
      <x:c r="D95" s="2"/>
      <x:c r="E95" s="3" t="str">
        <x:f t="shared" si="8"/>
      </x:c>
      <x:c r="F95" s="3" t="str">
        <x:f t="shared" si="9"/>
      </x:c>
      <x:c r="G95" s="3" t="str">
        <x:f t="shared" si="10"/>
        <x:v>OMS2 확인</x:v>
      </x:c>
      <x:c r="H95" s="3" t="str">
        <x:f t="shared" si="11"/>
      </x:c>
      <x:c r="I95" s="3" t="str">
        <x:f t="shared" si="12"/>
      </x:c>
      <x:c r="J95" s="3" t="str">
        <x:f t="shared" si="13"/>
      </x:c>
      <x:c r="K95" s="4" t="str">
        <x:f>IF(A95="","",IFERROR(VLOOKUP(J95,MGMT_RULE!$A:$G,7,FALSE),IFERROR(VLOOKUP(H95,RULE_MAIN!$A:$F,6,FALSE),IFERROR(VLOOKUP(I95,RULE_MAIN!$A:$F,6,FALSE),"관리자 확인"))))</x:f>
      </x:c>
      <x:c r="L95" s="5" t="str">
        <x:f>IF(A95="","",IF(K95="관리자 확인","DNC 차단",IF(ISNUMBER(SEARCH("후보",K95)),"관리자 확인",IFERROR(IF(MATCH(K95,PG_LIST!$A:$A,0)&gt;0,"DNC 가능","Program 파일 없음"),"Program 파일 없음"))))</x:f>
      </x:c>
      <x:c r="M95" s="6" t="str">
        <x:f>IF(A95="","",IF(COUNTIF(MGMT_RULE!$A:$A,J95)&gt;0,"관리번호 전용 RULE",IF(COUNTIF(RULE_MAIN!$A:$A,H95)&gt;0,"정확 RULE",IF(COUNTIF(RULE_MAIN!$A:$A,I95)&gt;0,"ANY RULE","확정 RULE 필요"))))</x:f>
      </x:c>
      <x:c r="N95" s="6" t="str">
        <x:f t="shared" si="14"/>
      </x:c>
      <x:c r="O95" s="6" t="str">
        <x:f t="shared" si="15"/>
      </x:c>
    </x:row>
    <x:row r="96">
      <x:c r="A96" s="2"/>
      <x:c r="B96" s="2"/>
      <x:c r="C96" s="2"/>
      <x:c r="D96" s="2"/>
      <x:c r="E96" s="3" t="str">
        <x:f t="shared" si="8"/>
      </x:c>
      <x:c r="F96" s="3" t="str">
        <x:f t="shared" si="9"/>
      </x:c>
      <x:c r="G96" s="3" t="str">
        <x:f t="shared" si="10"/>
        <x:v>OMS2 확인</x:v>
      </x:c>
      <x:c r="H96" s="3" t="str">
        <x:f t="shared" si="11"/>
      </x:c>
      <x:c r="I96" s="3" t="str">
        <x:f t="shared" si="12"/>
      </x:c>
      <x:c r="J96" s="3" t="str">
        <x:f t="shared" si="13"/>
      </x:c>
      <x:c r="K96" s="4" t="str">
        <x:f>IF(A96="","",IFERROR(VLOOKUP(J96,MGMT_RULE!$A:$G,7,FALSE),IFERROR(VLOOKUP(H96,RULE_MAIN!$A:$F,6,FALSE),IFERROR(VLOOKUP(I96,RULE_MAIN!$A:$F,6,FALSE),"관리자 확인"))))</x:f>
      </x:c>
      <x:c r="L96" s="5" t="str">
        <x:f>IF(A96="","",IF(K96="관리자 확인","DNC 차단",IF(ISNUMBER(SEARCH("후보",K96)),"관리자 확인",IFERROR(IF(MATCH(K96,PG_LIST!$A:$A,0)&gt;0,"DNC 가능","Program 파일 없음"),"Program 파일 없음"))))</x:f>
      </x:c>
      <x:c r="M96" s="6" t="str">
        <x:f>IF(A96="","",IF(COUNTIF(MGMT_RULE!$A:$A,J96)&gt;0,"관리번호 전용 RULE",IF(COUNTIF(RULE_MAIN!$A:$A,H96)&gt;0,"정확 RULE",IF(COUNTIF(RULE_MAIN!$A:$A,I96)&gt;0,"ANY RULE","확정 RULE 필요"))))</x:f>
      </x:c>
      <x:c r="N96" s="6" t="str">
        <x:f t="shared" si="14"/>
      </x:c>
      <x:c r="O96" s="6" t="str">
        <x:f t="shared" si="15"/>
      </x:c>
    </x:row>
    <x:row r="97">
      <x:c r="A97" s="2"/>
      <x:c r="B97" s="2"/>
      <x:c r="C97" s="2"/>
      <x:c r="D97" s="2"/>
      <x:c r="E97" s="3" t="str">
        <x:f t="shared" si="8"/>
      </x:c>
      <x:c r="F97" s="3" t="str">
        <x:f t="shared" si="9"/>
      </x:c>
      <x:c r="G97" s="3" t="str">
        <x:f t="shared" si="10"/>
        <x:v>OMS2 확인</x:v>
      </x:c>
      <x:c r="H97" s="3" t="str">
        <x:f t="shared" si="11"/>
      </x:c>
      <x:c r="I97" s="3" t="str">
        <x:f t="shared" si="12"/>
      </x:c>
      <x:c r="J97" s="3" t="str">
        <x:f t="shared" si="13"/>
      </x:c>
      <x:c r="K97" s="4" t="str">
        <x:f>IF(A97="","",IFERROR(VLOOKUP(J97,MGMT_RULE!$A:$G,7,FALSE),IFERROR(VLOOKUP(H97,RULE_MAIN!$A:$F,6,FALSE),IFERROR(VLOOKUP(I97,RULE_MAIN!$A:$F,6,FALSE),"관리자 확인"))))</x:f>
      </x:c>
      <x:c r="L97" s="5" t="str">
        <x:f>IF(A97="","",IF(K97="관리자 확인","DNC 차단",IF(ISNUMBER(SEARCH("후보",K97)),"관리자 확인",IFERROR(IF(MATCH(K97,PG_LIST!$A:$A,0)&gt;0,"DNC 가능","Program 파일 없음"),"Program 파일 없음"))))</x:f>
      </x:c>
      <x:c r="M97" s="6" t="str">
        <x:f>IF(A97="","",IF(COUNTIF(MGMT_RULE!$A:$A,J97)&gt;0,"관리번호 전용 RULE",IF(COUNTIF(RULE_MAIN!$A:$A,H97)&gt;0,"정확 RULE",IF(COUNTIF(RULE_MAIN!$A:$A,I97)&gt;0,"ANY RULE","확정 RULE 필요"))))</x:f>
      </x:c>
      <x:c r="N97" s="6" t="str">
        <x:f t="shared" si="14"/>
      </x:c>
      <x:c r="O97" s="6" t="str">
        <x:f t="shared" si="15"/>
      </x:c>
    </x:row>
    <x:row r="98">
      <x:c r="A98" s="2"/>
      <x:c r="B98" s="2"/>
      <x:c r="C98" s="2"/>
      <x:c r="D98" s="2"/>
      <x:c r="E98" s="3" t="str">
        <x:f t="shared" si="8"/>
      </x:c>
      <x:c r="F98" s="3" t="str">
        <x:f t="shared" si="9"/>
      </x:c>
      <x:c r="G98" s="3" t="str">
        <x:f t="shared" si="10"/>
        <x:v>OMS2 확인</x:v>
      </x:c>
      <x:c r="H98" s="3" t="str">
        <x:f t="shared" si="11"/>
      </x:c>
      <x:c r="I98" s="3" t="str">
        <x:f t="shared" si="12"/>
      </x:c>
      <x:c r="J98" s="3" t="str">
        <x:f t="shared" si="13"/>
      </x:c>
      <x:c r="K98" s="4" t="str">
        <x:f>IF(A98="","",IFERROR(VLOOKUP(J98,MGMT_RULE!$A:$G,7,FALSE),IFERROR(VLOOKUP(H98,RULE_MAIN!$A:$F,6,FALSE),IFERROR(VLOOKUP(I98,RULE_MAIN!$A:$F,6,FALSE),"관리자 확인"))))</x:f>
      </x:c>
      <x:c r="L98" s="5" t="str">
        <x:f>IF(A98="","",IF(K98="관리자 확인","DNC 차단",IF(ISNUMBER(SEARCH("후보",K98)),"관리자 확인",IFERROR(IF(MATCH(K98,PG_LIST!$A:$A,0)&gt;0,"DNC 가능","Program 파일 없음"),"Program 파일 없음"))))</x:f>
      </x:c>
      <x:c r="M98" s="6" t="str">
        <x:f>IF(A98="","",IF(COUNTIF(MGMT_RULE!$A:$A,J98)&gt;0,"관리번호 전용 RULE",IF(COUNTIF(RULE_MAIN!$A:$A,H98)&gt;0,"정확 RULE",IF(COUNTIF(RULE_MAIN!$A:$A,I98)&gt;0,"ANY RULE","확정 RULE 필요"))))</x:f>
      </x:c>
      <x:c r="N98" s="6" t="str">
        <x:f t="shared" si="14"/>
      </x:c>
      <x:c r="O98" s="6" t="str">
        <x:f t="shared" si="15"/>
      </x:c>
    </x:row>
    <x:row r="99">
      <x:c r="A99" s="2"/>
      <x:c r="B99" s="2"/>
      <x:c r="C99" s="2"/>
      <x:c r="D99" s="2"/>
      <x:c r="E99" s="3" t="str">
        <x:f t="shared" si="8"/>
      </x:c>
      <x:c r="F99" s="3" t="str">
        <x:f t="shared" si="9"/>
      </x:c>
      <x:c r="G99" s="3" t="str">
        <x:f t="shared" si="10"/>
        <x:v>OMS2 확인</x:v>
      </x:c>
      <x:c r="H99" s="3" t="str">
        <x:f t="shared" si="11"/>
      </x:c>
      <x:c r="I99" s="3" t="str">
        <x:f t="shared" si="12"/>
      </x:c>
      <x:c r="J99" s="3" t="str">
        <x:f t="shared" si="13"/>
      </x:c>
      <x:c r="K99" s="4" t="str">
        <x:f>IF(A99="","",IFERROR(VLOOKUP(J99,MGMT_RULE!$A:$G,7,FALSE),IFERROR(VLOOKUP(H99,RULE_MAIN!$A:$F,6,FALSE),IFERROR(VLOOKUP(I99,RULE_MAIN!$A:$F,6,FALSE),"관리자 확인"))))</x:f>
      </x:c>
      <x:c r="L99" s="5" t="str">
        <x:f>IF(A99="","",IF(K99="관리자 확인","DNC 차단",IF(ISNUMBER(SEARCH("후보",K99)),"관리자 확인",IFERROR(IF(MATCH(K99,PG_LIST!$A:$A,0)&gt;0,"DNC 가능","Program 파일 없음"),"Program 파일 없음"))))</x:f>
      </x:c>
      <x:c r="M99" s="6" t="str">
        <x:f>IF(A99="","",IF(COUNTIF(MGMT_RULE!$A:$A,J99)&gt;0,"관리번호 전용 RULE",IF(COUNTIF(RULE_MAIN!$A:$A,H99)&gt;0,"정확 RULE",IF(COUNTIF(RULE_MAIN!$A:$A,I99)&gt;0,"ANY RULE","확정 RULE 필요"))))</x:f>
      </x:c>
      <x:c r="N99" s="6" t="str">
        <x:f t="shared" si="14"/>
      </x:c>
      <x:c r="O99" s="6" t="str">
        <x:f t="shared" si="15"/>
      </x:c>
    </x:row>
    <x:row r="100">
      <x:c r="A100" s="2"/>
      <x:c r="B100" s="2"/>
      <x:c r="C100" s="2"/>
      <x:c r="D100" s="2"/>
      <x:c r="E100" s="3" t="str">
        <x:f t="shared" si="8"/>
      </x:c>
      <x:c r="F100" s="3" t="str">
        <x:f t="shared" si="9"/>
      </x:c>
      <x:c r="G100" s="3" t="str">
        <x:f t="shared" si="10"/>
        <x:v>OMS2 확인</x:v>
      </x:c>
      <x:c r="H100" s="3" t="str">
        <x:f t="shared" si="11"/>
      </x:c>
      <x:c r="I100" s="3" t="str">
        <x:f t="shared" si="12"/>
      </x:c>
      <x:c r="J100" s="3" t="str">
        <x:f t="shared" si="13"/>
      </x:c>
      <x:c r="K100" s="4" t="str">
        <x:f>IF(A100="","",IFERROR(VLOOKUP(J100,MGMT_RULE!$A:$G,7,FALSE),IFERROR(VLOOKUP(H100,RULE_MAIN!$A:$F,6,FALSE),IFERROR(VLOOKUP(I100,RULE_MAIN!$A:$F,6,FALSE),"관리자 확인"))))</x:f>
      </x:c>
      <x:c r="L100" s="5" t="str">
        <x:f>IF(A100="","",IF(K100="관리자 확인","DNC 차단",IF(ISNUMBER(SEARCH("후보",K100)),"관리자 확인",IFERROR(IF(MATCH(K100,PG_LIST!$A:$A,0)&gt;0,"DNC 가능","Program 파일 없음"),"Program 파일 없음"))))</x:f>
      </x:c>
      <x:c r="M100" s="6" t="str">
        <x:f>IF(A100="","",IF(COUNTIF(MGMT_RULE!$A:$A,J100)&gt;0,"관리번호 전용 RULE",IF(COUNTIF(RULE_MAIN!$A:$A,H100)&gt;0,"정확 RULE",IF(COUNTIF(RULE_MAIN!$A:$A,I100)&gt;0,"ANY RULE","확정 RULE 필요"))))</x:f>
      </x:c>
      <x:c r="N100" s="6" t="str">
        <x:f t="shared" si="14"/>
      </x:c>
      <x:c r="O100" s="6" t="str">
        <x:f t="shared" si="15"/>
      </x:c>
    </x:row>
    <x:row r="101">
      <x:c r="A101" s="2"/>
      <x:c r="B101" s="2"/>
      <x:c r="C101" s="2"/>
      <x:c r="D101" s="2"/>
      <x:c r="E101" s="3" t="str">
        <x:f t="shared" si="8"/>
      </x:c>
      <x:c r="F101" s="3" t="str">
        <x:f t="shared" si="9"/>
      </x:c>
      <x:c r="G101" s="3" t="str">
        <x:f t="shared" si="10"/>
        <x:v>OMS2 확인</x:v>
      </x:c>
      <x:c r="H101" s="3" t="str">
        <x:f t="shared" si="11"/>
      </x:c>
      <x:c r="I101" s="3" t="str">
        <x:f t="shared" si="12"/>
      </x:c>
      <x:c r="J101" s="3" t="str">
        <x:f t="shared" si="13"/>
      </x:c>
      <x:c r="K101" s="4" t="str">
        <x:f>IF(A101="","",IFERROR(VLOOKUP(J101,MGMT_RULE!$A:$G,7,FALSE),IFERROR(VLOOKUP(H101,RULE_MAIN!$A:$F,6,FALSE),IFERROR(VLOOKUP(I101,RULE_MAIN!$A:$F,6,FALSE),"관리자 확인"))))</x:f>
      </x:c>
      <x:c r="L101" s="5" t="str">
        <x:f>IF(A101="","",IF(K101="관리자 확인","DNC 차단",IF(ISNUMBER(SEARCH("후보",K101)),"관리자 확인",IFERROR(IF(MATCH(K101,PG_LIST!$A:$A,0)&gt;0,"DNC 가능","Program 파일 없음"),"Program 파일 없음"))))</x:f>
      </x:c>
      <x:c r="M101" s="6" t="str">
        <x:f>IF(A101="","",IF(COUNTIF(MGMT_RULE!$A:$A,J101)&gt;0,"관리번호 전용 RULE",IF(COUNTIF(RULE_MAIN!$A:$A,H101)&gt;0,"정확 RULE",IF(COUNTIF(RULE_MAIN!$A:$A,I101)&gt;0,"ANY RULE","확정 RULE 필요"))))</x:f>
      </x:c>
      <x:c r="N101" s="6" t="str">
        <x:f t="shared" si="14"/>
      </x:c>
      <x:c r="O101" s="6" t="str">
        <x:f t="shared" si="15"/>
      </x:c>
    </x:row>
    <x:row r="102">
      <x:c r="A102" s="2"/>
      <x:c r="B102" s="2"/>
      <x:c r="C102" s="2"/>
      <x:c r="D102" s="2"/>
      <x:c r="E102" s="3" t="str">
        <x:f t="shared" si="8"/>
      </x:c>
      <x:c r="F102" s="3" t="str">
        <x:f t="shared" si="9"/>
      </x:c>
      <x:c r="G102" s="3" t="str">
        <x:f t="shared" si="10"/>
        <x:v>OMS2 확인</x:v>
      </x:c>
      <x:c r="H102" s="3" t="str">
        <x:f t="shared" si="11"/>
      </x:c>
      <x:c r="I102" s="3" t="str">
        <x:f t="shared" si="12"/>
      </x:c>
      <x:c r="J102" s="3" t="str">
        <x:f t="shared" si="13"/>
      </x:c>
      <x:c r="K102" s="4" t="str">
        <x:f>IF(A102="","",IFERROR(VLOOKUP(J102,MGMT_RULE!$A:$G,7,FALSE),IFERROR(VLOOKUP(H102,RULE_MAIN!$A:$F,6,FALSE),IFERROR(VLOOKUP(I102,RULE_MAIN!$A:$F,6,FALSE),"관리자 확인"))))</x:f>
      </x:c>
      <x:c r="L102" s="5" t="str">
        <x:f>IF(A102="","",IF(K102="관리자 확인","DNC 차단",IF(ISNUMBER(SEARCH("후보",K102)),"관리자 확인",IFERROR(IF(MATCH(K102,PG_LIST!$A:$A,0)&gt;0,"DNC 가능","Program 파일 없음"),"Program 파일 없음"))))</x:f>
      </x:c>
      <x:c r="M102" s="6" t="str">
        <x:f>IF(A102="","",IF(COUNTIF(MGMT_RULE!$A:$A,J102)&gt;0,"관리번호 전용 RULE",IF(COUNTIF(RULE_MAIN!$A:$A,H102)&gt;0,"정확 RULE",IF(COUNTIF(RULE_MAIN!$A:$A,I102)&gt;0,"ANY RULE","확정 RULE 필요"))))</x:f>
      </x:c>
      <x:c r="N102" s="6" t="str">
        <x:f t="shared" si="14"/>
      </x:c>
      <x:c r="O102" s="6" t="str">
        <x:f t="shared" si="15"/>
      </x:c>
    </x:row>
    <x:row r="103">
      <x:c r="A103" s="2"/>
      <x:c r="B103" s="2"/>
      <x:c r="C103" s="2"/>
      <x:c r="D103" s="2"/>
      <x:c r="E103" s="3" t="str">
        <x:f t="shared" si="8"/>
      </x:c>
      <x:c r="F103" s="3" t="str">
        <x:f t="shared" si="9"/>
      </x:c>
      <x:c r="G103" s="3" t="str">
        <x:f t="shared" si="10"/>
        <x:v>OMS2 확인</x:v>
      </x:c>
      <x:c r="H103" s="3" t="str">
        <x:f t="shared" si="11"/>
      </x:c>
      <x:c r="I103" s="3" t="str">
        <x:f t="shared" si="12"/>
      </x:c>
      <x:c r="J103" s="3" t="str">
        <x:f t="shared" si="13"/>
      </x:c>
      <x:c r="K103" s="4" t="str">
        <x:f>IF(A103="","",IFERROR(VLOOKUP(J103,MGMT_RULE!$A:$G,7,FALSE),IFERROR(VLOOKUP(H103,RULE_MAIN!$A:$F,6,FALSE),IFERROR(VLOOKUP(I103,RULE_MAIN!$A:$F,6,FALSE),"관리자 확인"))))</x:f>
      </x:c>
      <x:c r="L103" s="5" t="str">
        <x:f>IF(A103="","",IF(K103="관리자 확인","DNC 차단",IF(ISNUMBER(SEARCH("후보",K103)),"관리자 확인",IFERROR(IF(MATCH(K103,PG_LIST!$A:$A,0)&gt;0,"DNC 가능","Program 파일 없음"),"Program 파일 없음"))))</x:f>
      </x:c>
      <x:c r="M103" s="6" t="str">
        <x:f>IF(A103="","",IF(COUNTIF(MGMT_RULE!$A:$A,J103)&gt;0,"관리번호 전용 RULE",IF(COUNTIF(RULE_MAIN!$A:$A,H103)&gt;0,"정확 RULE",IF(COUNTIF(RULE_MAIN!$A:$A,I103)&gt;0,"ANY RULE","확정 RULE 필요"))))</x:f>
      </x:c>
      <x:c r="N103" s="6" t="str">
        <x:f t="shared" si="14"/>
      </x:c>
      <x:c r="O103" s="6" t="str">
        <x:f t="shared" si="15"/>
      </x:c>
    </x:row>
    <x:row r="104">
      <x:c r="A104" s="2"/>
      <x:c r="B104" s="2"/>
      <x:c r="C104" s="2"/>
      <x:c r="D104" s="2"/>
      <x:c r="E104" s="3" t="str">
        <x:f t="shared" si="8"/>
      </x:c>
      <x:c r="F104" s="3" t="str">
        <x:f t="shared" si="9"/>
      </x:c>
      <x:c r="G104" s="3" t="str">
        <x:f t="shared" si="10"/>
        <x:v>OMS2 확인</x:v>
      </x:c>
      <x:c r="H104" s="3" t="str">
        <x:f t="shared" si="11"/>
      </x:c>
      <x:c r="I104" s="3" t="str">
        <x:f t="shared" si="12"/>
      </x:c>
      <x:c r="J104" s="3" t="str">
        <x:f t="shared" si="13"/>
      </x:c>
      <x:c r="K104" s="4" t="str">
        <x:f>IF(A104="","",IFERROR(VLOOKUP(J104,MGMT_RULE!$A:$G,7,FALSE),IFERROR(VLOOKUP(H104,RULE_MAIN!$A:$F,6,FALSE),IFERROR(VLOOKUP(I104,RULE_MAIN!$A:$F,6,FALSE),"관리자 확인"))))</x:f>
      </x:c>
      <x:c r="L104" s="5" t="str">
        <x:f>IF(A104="","",IF(K104="관리자 확인","DNC 차단",IF(ISNUMBER(SEARCH("후보",K104)),"관리자 확인",IFERROR(IF(MATCH(K104,PG_LIST!$A:$A,0)&gt;0,"DNC 가능","Program 파일 없음"),"Program 파일 없음"))))</x:f>
      </x:c>
      <x:c r="M104" s="6" t="str">
        <x:f>IF(A104="","",IF(COUNTIF(MGMT_RULE!$A:$A,J104)&gt;0,"관리번호 전용 RULE",IF(COUNTIF(RULE_MAIN!$A:$A,H104)&gt;0,"정확 RULE",IF(COUNTIF(RULE_MAIN!$A:$A,I104)&gt;0,"ANY RULE","확정 RULE 필요"))))</x:f>
      </x:c>
      <x:c r="N104" s="6" t="str">
        <x:f t="shared" si="14"/>
      </x:c>
      <x:c r="O104" s="6" t="str">
        <x:f t="shared" si="15"/>
      </x:c>
    </x:row>
    <x:row r="105">
      <x:c r="A105" s="2"/>
      <x:c r="B105" s="2"/>
      <x:c r="C105" s="2"/>
      <x:c r="D105" s="2"/>
      <x:c r="E105" s="3" t="str">
        <x:f t="shared" si="8"/>
      </x:c>
      <x:c r="F105" s="3" t="str">
        <x:f t="shared" si="9"/>
      </x:c>
      <x:c r="G105" s="3" t="str">
        <x:f t="shared" si="10"/>
        <x:v>OMS2 확인</x:v>
      </x:c>
      <x:c r="H105" s="3" t="str">
        <x:f t="shared" si="11"/>
      </x:c>
      <x:c r="I105" s="3" t="str">
        <x:f t="shared" si="12"/>
      </x:c>
      <x:c r="J105" s="3" t="str">
        <x:f t="shared" si="13"/>
      </x:c>
      <x:c r="K105" s="4" t="str">
        <x:f>IF(A105="","",IFERROR(VLOOKUP(J105,MGMT_RULE!$A:$G,7,FALSE),IFERROR(VLOOKUP(H105,RULE_MAIN!$A:$F,6,FALSE),IFERROR(VLOOKUP(I105,RULE_MAIN!$A:$F,6,FALSE),"관리자 확인"))))</x:f>
      </x:c>
      <x:c r="L105" s="5" t="str">
        <x:f>IF(A105="","",IF(K105="관리자 확인","DNC 차단",IF(ISNUMBER(SEARCH("후보",K105)),"관리자 확인",IFERROR(IF(MATCH(K105,PG_LIST!$A:$A,0)&gt;0,"DNC 가능","Program 파일 없음"),"Program 파일 없음"))))</x:f>
      </x:c>
      <x:c r="M105" s="6" t="str">
        <x:f>IF(A105="","",IF(COUNTIF(MGMT_RULE!$A:$A,J105)&gt;0,"관리번호 전용 RULE",IF(COUNTIF(RULE_MAIN!$A:$A,H105)&gt;0,"정확 RULE",IF(COUNTIF(RULE_MAIN!$A:$A,I105)&gt;0,"ANY RULE","확정 RULE 필요"))))</x:f>
      </x:c>
      <x:c r="N105" s="6" t="str">
        <x:f t="shared" si="14"/>
      </x:c>
      <x:c r="O105" s="6" t="str">
        <x:f t="shared" si="15"/>
      </x:c>
    </x:row>
    <x:row r="106">
      <x:c r="A106" s="2"/>
      <x:c r="B106" s="2"/>
      <x:c r="C106" s="2"/>
      <x:c r="D106" s="2"/>
      <x:c r="E106" s="3" t="str">
        <x:f t="shared" si="8"/>
      </x:c>
      <x:c r="F106" s="3" t="str">
        <x:f t="shared" si="9"/>
      </x:c>
      <x:c r="G106" s="3" t="str">
        <x:f t="shared" si="10"/>
        <x:v>OMS2 확인</x:v>
      </x:c>
      <x:c r="H106" s="3" t="str">
        <x:f t="shared" si="11"/>
      </x:c>
      <x:c r="I106" s="3" t="str">
        <x:f t="shared" si="12"/>
      </x:c>
      <x:c r="J106" s="3" t="str">
        <x:f t="shared" si="13"/>
      </x:c>
      <x:c r="K106" s="4" t="str">
        <x:f>IF(A106="","",IFERROR(VLOOKUP(J106,MGMT_RULE!$A:$G,7,FALSE),IFERROR(VLOOKUP(H106,RULE_MAIN!$A:$F,6,FALSE),IFERROR(VLOOKUP(I106,RULE_MAIN!$A:$F,6,FALSE),"관리자 확인"))))</x:f>
      </x:c>
      <x:c r="L106" s="5" t="str">
        <x:f>IF(A106="","",IF(K106="관리자 확인","DNC 차단",IF(ISNUMBER(SEARCH("후보",K106)),"관리자 확인",IFERROR(IF(MATCH(K106,PG_LIST!$A:$A,0)&gt;0,"DNC 가능","Program 파일 없음"),"Program 파일 없음"))))</x:f>
      </x:c>
      <x:c r="M106" s="6" t="str">
        <x:f>IF(A106="","",IF(COUNTIF(MGMT_RULE!$A:$A,J106)&gt;0,"관리번호 전용 RULE",IF(COUNTIF(RULE_MAIN!$A:$A,H106)&gt;0,"정확 RULE",IF(COUNTIF(RULE_MAIN!$A:$A,I106)&gt;0,"ANY RULE","확정 RULE 필요"))))</x:f>
      </x:c>
      <x:c r="N106" s="6" t="str">
        <x:f t="shared" si="14"/>
      </x:c>
      <x:c r="O106" s="6" t="str">
        <x:f t="shared" si="15"/>
      </x:c>
    </x:row>
    <x:row r="107">
      <x:c r="A107" s="2"/>
      <x:c r="B107" s="2"/>
      <x:c r="C107" s="2"/>
      <x:c r="D107" s="2"/>
      <x:c r="E107" s="3" t="str">
        <x:f t="shared" si="8"/>
      </x:c>
      <x:c r="F107" s="3" t="str">
        <x:f t="shared" si="9"/>
      </x:c>
      <x:c r="G107" s="3" t="str">
        <x:f t="shared" si="10"/>
        <x:v>OMS2 확인</x:v>
      </x:c>
      <x:c r="H107" s="3" t="str">
        <x:f t="shared" si="11"/>
      </x:c>
      <x:c r="I107" s="3" t="str">
        <x:f t="shared" si="12"/>
      </x:c>
      <x:c r="J107" s="3" t="str">
        <x:f t="shared" si="13"/>
      </x:c>
      <x:c r="K107" s="4" t="str">
        <x:f>IF(A107="","",IFERROR(VLOOKUP(J107,MGMT_RULE!$A:$G,7,FALSE),IFERROR(VLOOKUP(H107,RULE_MAIN!$A:$F,6,FALSE),IFERROR(VLOOKUP(I107,RULE_MAIN!$A:$F,6,FALSE),"관리자 확인"))))</x:f>
      </x:c>
      <x:c r="L107" s="5" t="str">
        <x:f>IF(A107="","",IF(K107="관리자 확인","DNC 차단",IF(ISNUMBER(SEARCH("후보",K107)),"관리자 확인",IFERROR(IF(MATCH(K107,PG_LIST!$A:$A,0)&gt;0,"DNC 가능","Program 파일 없음"),"Program 파일 없음"))))</x:f>
      </x:c>
      <x:c r="M107" s="6" t="str">
        <x:f>IF(A107="","",IF(COUNTIF(MGMT_RULE!$A:$A,J107)&gt;0,"관리번호 전용 RULE",IF(COUNTIF(RULE_MAIN!$A:$A,H107)&gt;0,"정확 RULE",IF(COUNTIF(RULE_MAIN!$A:$A,I107)&gt;0,"ANY RULE","확정 RULE 필요"))))</x:f>
      </x:c>
      <x:c r="N107" s="6" t="str">
        <x:f t="shared" si="14"/>
      </x:c>
      <x:c r="O107" s="6" t="str">
        <x:f t="shared" si="15"/>
      </x:c>
    </x:row>
    <x:row r="108">
      <x:c r="A108" s="2"/>
      <x:c r="B108" s="2"/>
      <x:c r="C108" s="2"/>
      <x:c r="D108" s="2"/>
      <x:c r="E108" s="3" t="str">
        <x:f t="shared" si="8"/>
      </x:c>
      <x:c r="F108" s="3" t="str">
        <x:f t="shared" si="9"/>
      </x:c>
      <x:c r="G108" s="3" t="str">
        <x:f t="shared" si="10"/>
        <x:v>OMS2 확인</x:v>
      </x:c>
      <x:c r="H108" s="3" t="str">
        <x:f t="shared" si="11"/>
      </x:c>
      <x:c r="I108" s="3" t="str">
        <x:f t="shared" si="12"/>
      </x:c>
      <x:c r="J108" s="3" t="str">
        <x:f t="shared" si="13"/>
      </x:c>
      <x:c r="K108" s="4" t="str">
        <x:f>IF(A108="","",IFERROR(VLOOKUP(J108,MGMT_RULE!$A:$G,7,FALSE),IFERROR(VLOOKUP(H108,RULE_MAIN!$A:$F,6,FALSE),IFERROR(VLOOKUP(I108,RULE_MAIN!$A:$F,6,FALSE),"관리자 확인"))))</x:f>
      </x:c>
      <x:c r="L108" s="5" t="str">
        <x:f>IF(A108="","",IF(K108="관리자 확인","DNC 차단",IF(ISNUMBER(SEARCH("후보",K108)),"관리자 확인",IFERROR(IF(MATCH(K108,PG_LIST!$A:$A,0)&gt;0,"DNC 가능","Program 파일 없음"),"Program 파일 없음"))))</x:f>
      </x:c>
      <x:c r="M108" s="6" t="str">
        <x:f>IF(A108="","",IF(COUNTIF(MGMT_RULE!$A:$A,J108)&gt;0,"관리번호 전용 RULE",IF(COUNTIF(RULE_MAIN!$A:$A,H108)&gt;0,"정확 RULE",IF(COUNTIF(RULE_MAIN!$A:$A,I108)&gt;0,"ANY RULE","확정 RULE 필요"))))</x:f>
      </x:c>
      <x:c r="N108" s="6" t="str">
        <x:f t="shared" si="14"/>
      </x:c>
      <x:c r="O108" s="6" t="str">
        <x:f t="shared" si="15"/>
      </x:c>
    </x:row>
    <x:row r="109">
      <x:c r="A109" s="2"/>
      <x:c r="B109" s="2"/>
      <x:c r="C109" s="2"/>
      <x:c r="D109" s="2"/>
      <x:c r="E109" s="3" t="str">
        <x:f t="shared" si="8"/>
      </x:c>
      <x:c r="F109" s="3" t="str">
        <x:f t="shared" si="9"/>
      </x:c>
      <x:c r="G109" s="3" t="str">
        <x:f t="shared" si="10"/>
        <x:v>OMS2 확인</x:v>
      </x:c>
      <x:c r="H109" s="3" t="str">
        <x:f t="shared" si="11"/>
      </x:c>
      <x:c r="I109" s="3" t="str">
        <x:f t="shared" si="12"/>
      </x:c>
      <x:c r="J109" s="3" t="str">
        <x:f t="shared" si="13"/>
      </x:c>
      <x:c r="K109" s="4" t="str">
        <x:f>IF(A109="","",IFERROR(VLOOKUP(J109,MGMT_RULE!$A:$G,7,FALSE),IFERROR(VLOOKUP(H109,RULE_MAIN!$A:$F,6,FALSE),IFERROR(VLOOKUP(I109,RULE_MAIN!$A:$F,6,FALSE),"관리자 확인"))))</x:f>
      </x:c>
      <x:c r="L109" s="5" t="str">
        <x:f>IF(A109="","",IF(K109="관리자 확인","DNC 차단",IF(ISNUMBER(SEARCH("후보",K109)),"관리자 확인",IFERROR(IF(MATCH(K109,PG_LIST!$A:$A,0)&gt;0,"DNC 가능","Program 파일 없음"),"Program 파일 없음"))))</x:f>
      </x:c>
      <x:c r="M109" s="6" t="str">
        <x:f>IF(A109="","",IF(COUNTIF(MGMT_RULE!$A:$A,J109)&gt;0,"관리번호 전용 RULE",IF(COUNTIF(RULE_MAIN!$A:$A,H109)&gt;0,"정확 RULE",IF(COUNTIF(RULE_MAIN!$A:$A,I109)&gt;0,"ANY RULE","확정 RULE 필요"))))</x:f>
      </x:c>
      <x:c r="N109" s="6" t="str">
        <x:f t="shared" si="14"/>
      </x:c>
      <x:c r="O109" s="6" t="str">
        <x:f t="shared" si="15"/>
      </x:c>
    </x:row>
    <x:row r="110">
      <x:c r="A110" s="2"/>
      <x:c r="B110" s="2"/>
      <x:c r="C110" s="2"/>
      <x:c r="D110" s="2"/>
      <x:c r="E110" s="3" t="str">
        <x:f t="shared" si="8"/>
      </x:c>
      <x:c r="F110" s="3" t="str">
        <x:f t="shared" si="9"/>
      </x:c>
      <x:c r="G110" s="3" t="str">
        <x:f t="shared" si="10"/>
        <x:v>OMS2 확인</x:v>
      </x:c>
      <x:c r="H110" s="3" t="str">
        <x:f t="shared" si="11"/>
      </x:c>
      <x:c r="I110" s="3" t="str">
        <x:f t="shared" si="12"/>
      </x:c>
      <x:c r="J110" s="3" t="str">
        <x:f t="shared" si="13"/>
      </x:c>
      <x:c r="K110" s="4" t="str">
        <x:f>IF(A110="","",IFERROR(VLOOKUP(J110,MGMT_RULE!$A:$G,7,FALSE),IFERROR(VLOOKUP(H110,RULE_MAIN!$A:$F,6,FALSE),IFERROR(VLOOKUP(I110,RULE_MAIN!$A:$F,6,FALSE),"관리자 확인"))))</x:f>
      </x:c>
      <x:c r="L110" s="5" t="str">
        <x:f>IF(A110="","",IF(K110="관리자 확인","DNC 차단",IF(ISNUMBER(SEARCH("후보",K110)),"관리자 확인",IFERROR(IF(MATCH(K110,PG_LIST!$A:$A,0)&gt;0,"DNC 가능","Program 파일 없음"),"Program 파일 없음"))))</x:f>
      </x:c>
      <x:c r="M110" s="6" t="str">
        <x:f>IF(A110="","",IF(COUNTIF(MGMT_RULE!$A:$A,J110)&gt;0,"관리번호 전용 RULE",IF(COUNTIF(RULE_MAIN!$A:$A,H110)&gt;0,"정확 RULE",IF(COUNTIF(RULE_MAIN!$A:$A,I110)&gt;0,"ANY RULE","확정 RULE 필요"))))</x:f>
      </x:c>
      <x:c r="N110" s="6" t="str">
        <x:f t="shared" si="14"/>
      </x:c>
      <x:c r="O110" s="6" t="str">
        <x:f t="shared" si="15"/>
      </x:c>
    </x:row>
    <x:row r="111">
      <x:c r="A111" s="2"/>
      <x:c r="B111" s="2"/>
      <x:c r="C111" s="2"/>
      <x:c r="D111" s="2"/>
      <x:c r="E111" s="3" t="str">
        <x:f t="shared" si="8"/>
      </x:c>
      <x:c r="F111" s="3" t="str">
        <x:f t="shared" si="9"/>
      </x:c>
      <x:c r="G111" s="3" t="str">
        <x:f t="shared" si="10"/>
        <x:v>OMS2 확인</x:v>
      </x:c>
      <x:c r="H111" s="3" t="str">
        <x:f t="shared" si="11"/>
      </x:c>
      <x:c r="I111" s="3" t="str">
        <x:f t="shared" si="12"/>
      </x:c>
      <x:c r="J111" s="3" t="str">
        <x:f t="shared" si="13"/>
      </x:c>
      <x:c r="K111" s="4" t="str">
        <x:f>IF(A111="","",IFERROR(VLOOKUP(J111,MGMT_RULE!$A:$G,7,FALSE),IFERROR(VLOOKUP(H111,RULE_MAIN!$A:$F,6,FALSE),IFERROR(VLOOKUP(I111,RULE_MAIN!$A:$F,6,FALSE),"관리자 확인"))))</x:f>
      </x:c>
      <x:c r="L111" s="5" t="str">
        <x:f>IF(A111="","",IF(K111="관리자 확인","DNC 차단",IF(ISNUMBER(SEARCH("후보",K111)),"관리자 확인",IFERROR(IF(MATCH(K111,PG_LIST!$A:$A,0)&gt;0,"DNC 가능","Program 파일 없음"),"Program 파일 없음"))))</x:f>
      </x:c>
      <x:c r="M111" s="6" t="str">
        <x:f>IF(A111="","",IF(COUNTIF(MGMT_RULE!$A:$A,J111)&gt;0,"관리번호 전용 RULE",IF(COUNTIF(RULE_MAIN!$A:$A,H111)&gt;0,"정확 RULE",IF(COUNTIF(RULE_MAIN!$A:$A,I111)&gt;0,"ANY RULE","확정 RULE 필요"))))</x:f>
      </x:c>
      <x:c r="N111" s="6" t="str">
        <x:f t="shared" si="14"/>
      </x:c>
      <x:c r="O111" s="6" t="str">
        <x:f t="shared" si="15"/>
      </x:c>
    </x:row>
    <x:row r="112">
      <x:c r="A112" s="2"/>
      <x:c r="B112" s="2"/>
      <x:c r="C112" s="2"/>
      <x:c r="D112" s="2"/>
      <x:c r="E112" s="3" t="str">
        <x:f t="shared" si="8"/>
      </x:c>
      <x:c r="F112" s="3" t="str">
        <x:f t="shared" si="9"/>
      </x:c>
      <x:c r="G112" s="3" t="str">
        <x:f t="shared" si="10"/>
        <x:v>OMS2 확인</x:v>
      </x:c>
      <x:c r="H112" s="3" t="str">
        <x:f t="shared" si="11"/>
      </x:c>
      <x:c r="I112" s="3" t="str">
        <x:f t="shared" si="12"/>
      </x:c>
      <x:c r="J112" s="3" t="str">
        <x:f t="shared" si="13"/>
      </x:c>
      <x:c r="K112" s="4" t="str">
        <x:f>IF(A112="","",IFERROR(VLOOKUP(J112,MGMT_RULE!$A:$G,7,FALSE),IFERROR(VLOOKUP(H112,RULE_MAIN!$A:$F,6,FALSE),IFERROR(VLOOKUP(I112,RULE_MAIN!$A:$F,6,FALSE),"관리자 확인"))))</x:f>
      </x:c>
      <x:c r="L112" s="5" t="str">
        <x:f>IF(A112="","",IF(K112="관리자 확인","DNC 차단",IF(ISNUMBER(SEARCH("후보",K112)),"관리자 확인",IFERROR(IF(MATCH(K112,PG_LIST!$A:$A,0)&gt;0,"DNC 가능","Program 파일 없음"),"Program 파일 없음"))))</x:f>
      </x:c>
      <x:c r="M112" s="6" t="str">
        <x:f>IF(A112="","",IF(COUNTIF(MGMT_RULE!$A:$A,J112)&gt;0,"관리번호 전용 RULE",IF(COUNTIF(RULE_MAIN!$A:$A,H112)&gt;0,"정확 RULE",IF(COUNTIF(RULE_MAIN!$A:$A,I112)&gt;0,"ANY RULE","확정 RULE 필요"))))</x:f>
      </x:c>
      <x:c r="N112" s="6" t="str">
        <x:f t="shared" si="14"/>
      </x:c>
      <x:c r="O112" s="6" t="str">
        <x:f t="shared" si="15"/>
      </x:c>
    </x:row>
    <x:row r="113">
      <x:c r="A113" s="2"/>
      <x:c r="B113" s="2"/>
      <x:c r="C113" s="2"/>
      <x:c r="D113" s="2"/>
      <x:c r="E113" s="3" t="str">
        <x:f t="shared" si="8"/>
      </x:c>
      <x:c r="F113" s="3" t="str">
        <x:f t="shared" si="9"/>
      </x:c>
      <x:c r="G113" s="3" t="str">
        <x:f t="shared" si="10"/>
        <x:v>OMS2 확인</x:v>
      </x:c>
      <x:c r="H113" s="3" t="str">
        <x:f t="shared" si="11"/>
      </x:c>
      <x:c r="I113" s="3" t="str">
        <x:f t="shared" si="12"/>
      </x:c>
      <x:c r="J113" s="3" t="str">
        <x:f t="shared" si="13"/>
      </x:c>
      <x:c r="K113" s="4" t="str">
        <x:f>IF(A113="","",IFERROR(VLOOKUP(J113,MGMT_RULE!$A:$G,7,FALSE),IFERROR(VLOOKUP(H113,RULE_MAIN!$A:$F,6,FALSE),IFERROR(VLOOKUP(I113,RULE_MAIN!$A:$F,6,FALSE),"관리자 확인"))))</x:f>
      </x:c>
      <x:c r="L113" s="5" t="str">
        <x:f>IF(A113="","",IF(K113="관리자 확인","DNC 차단",IF(ISNUMBER(SEARCH("후보",K113)),"관리자 확인",IFERROR(IF(MATCH(K113,PG_LIST!$A:$A,0)&gt;0,"DNC 가능","Program 파일 없음"),"Program 파일 없음"))))</x:f>
      </x:c>
      <x:c r="M113" s="6" t="str">
        <x:f>IF(A113="","",IF(COUNTIF(MGMT_RULE!$A:$A,J113)&gt;0,"관리번호 전용 RULE",IF(COUNTIF(RULE_MAIN!$A:$A,H113)&gt;0,"정확 RULE",IF(COUNTIF(RULE_MAIN!$A:$A,I113)&gt;0,"ANY RULE","확정 RULE 필요"))))</x:f>
      </x:c>
      <x:c r="N113" s="6" t="str">
        <x:f t="shared" si="14"/>
      </x:c>
      <x:c r="O113" s="6" t="str">
        <x:f t="shared" si="15"/>
      </x:c>
    </x:row>
    <x:row r="114">
      <x:c r="A114" s="2"/>
      <x:c r="B114" s="2"/>
      <x:c r="C114" s="2"/>
      <x:c r="D114" s="2"/>
      <x:c r="E114" s="3" t="str">
        <x:f t="shared" si="8"/>
      </x:c>
      <x:c r="F114" s="3" t="str">
        <x:f t="shared" si="9"/>
      </x:c>
      <x:c r="G114" s="3" t="str">
        <x:f t="shared" si="10"/>
        <x:v>OMS2 확인</x:v>
      </x:c>
      <x:c r="H114" s="3" t="str">
        <x:f t="shared" si="11"/>
      </x:c>
      <x:c r="I114" s="3" t="str">
        <x:f t="shared" si="12"/>
      </x:c>
      <x:c r="J114" s="3" t="str">
        <x:f t="shared" si="13"/>
      </x:c>
      <x:c r="K114" s="4" t="str">
        <x:f>IF(A114="","",IFERROR(VLOOKUP(J114,MGMT_RULE!$A:$G,7,FALSE),IFERROR(VLOOKUP(H114,RULE_MAIN!$A:$F,6,FALSE),IFERROR(VLOOKUP(I114,RULE_MAIN!$A:$F,6,FALSE),"관리자 확인"))))</x:f>
      </x:c>
      <x:c r="L114" s="5" t="str">
        <x:f>IF(A114="","",IF(K114="관리자 확인","DNC 차단",IF(ISNUMBER(SEARCH("후보",K114)),"관리자 확인",IFERROR(IF(MATCH(K114,PG_LIST!$A:$A,0)&gt;0,"DNC 가능","Program 파일 없음"),"Program 파일 없음"))))</x:f>
      </x:c>
      <x:c r="M114" s="6" t="str">
        <x:f>IF(A114="","",IF(COUNTIF(MGMT_RULE!$A:$A,J114)&gt;0,"관리번호 전용 RULE",IF(COUNTIF(RULE_MAIN!$A:$A,H114)&gt;0,"정확 RULE",IF(COUNTIF(RULE_MAIN!$A:$A,I114)&gt;0,"ANY RULE","확정 RULE 필요"))))</x:f>
      </x:c>
      <x:c r="N114" s="6" t="str">
        <x:f t="shared" si="14"/>
      </x:c>
      <x:c r="O114" s="6" t="str">
        <x:f t="shared" si="15"/>
      </x:c>
    </x:row>
    <x:row r="115">
      <x:c r="A115" s="2"/>
      <x:c r="B115" s="2"/>
      <x:c r="C115" s="2"/>
      <x:c r="D115" s="2"/>
      <x:c r="E115" s="3" t="str">
        <x:f t="shared" si="8"/>
      </x:c>
      <x:c r="F115" s="3" t="str">
        <x:f t="shared" si="9"/>
      </x:c>
      <x:c r="G115" s="3" t="str">
        <x:f t="shared" si="10"/>
        <x:v>OMS2 확인</x:v>
      </x:c>
      <x:c r="H115" s="3" t="str">
        <x:f t="shared" si="11"/>
      </x:c>
      <x:c r="I115" s="3" t="str">
        <x:f t="shared" si="12"/>
      </x:c>
      <x:c r="J115" s="3" t="str">
        <x:f t="shared" si="13"/>
      </x:c>
      <x:c r="K115" s="4" t="str">
        <x:f>IF(A115="","",IFERROR(VLOOKUP(J115,MGMT_RULE!$A:$G,7,FALSE),IFERROR(VLOOKUP(H115,RULE_MAIN!$A:$F,6,FALSE),IFERROR(VLOOKUP(I115,RULE_MAIN!$A:$F,6,FALSE),"관리자 확인"))))</x:f>
      </x:c>
      <x:c r="L115" s="5" t="str">
        <x:f>IF(A115="","",IF(K115="관리자 확인","DNC 차단",IF(ISNUMBER(SEARCH("후보",K115)),"관리자 확인",IFERROR(IF(MATCH(K115,PG_LIST!$A:$A,0)&gt;0,"DNC 가능","Program 파일 없음"),"Program 파일 없음"))))</x:f>
      </x:c>
      <x:c r="M115" s="6" t="str">
        <x:f>IF(A115="","",IF(COUNTIF(MGMT_RULE!$A:$A,J115)&gt;0,"관리번호 전용 RULE",IF(COUNTIF(RULE_MAIN!$A:$A,H115)&gt;0,"정확 RULE",IF(COUNTIF(RULE_MAIN!$A:$A,I115)&gt;0,"ANY RULE","확정 RULE 필요"))))</x:f>
      </x:c>
      <x:c r="N115" s="6" t="str">
        <x:f t="shared" si="14"/>
      </x:c>
      <x:c r="O115" s="6" t="str">
        <x:f t="shared" si="15"/>
      </x:c>
    </x:row>
    <x:row r="116">
      <x:c r="A116" s="2"/>
      <x:c r="B116" s="2"/>
      <x:c r="C116" s="2"/>
      <x:c r="D116" s="2"/>
      <x:c r="E116" s="3" t="str">
        <x:f t="shared" si="8"/>
      </x:c>
      <x:c r="F116" s="3" t="str">
        <x:f t="shared" si="9"/>
      </x:c>
      <x:c r="G116" s="3" t="str">
        <x:f t="shared" si="10"/>
        <x:v>OMS2 확인</x:v>
      </x:c>
      <x:c r="H116" s="3" t="str">
        <x:f t="shared" si="11"/>
      </x:c>
      <x:c r="I116" s="3" t="str">
        <x:f t="shared" si="12"/>
      </x:c>
      <x:c r="J116" s="3" t="str">
        <x:f t="shared" si="13"/>
      </x:c>
      <x:c r="K116" s="4" t="str">
        <x:f>IF(A116="","",IFERROR(VLOOKUP(J116,MGMT_RULE!$A:$G,7,FALSE),IFERROR(VLOOKUP(H116,RULE_MAIN!$A:$F,6,FALSE),IFERROR(VLOOKUP(I116,RULE_MAIN!$A:$F,6,FALSE),"관리자 확인"))))</x:f>
      </x:c>
      <x:c r="L116" s="5" t="str">
        <x:f>IF(A116="","",IF(K116="관리자 확인","DNC 차단",IF(ISNUMBER(SEARCH("후보",K116)),"관리자 확인",IFERROR(IF(MATCH(K116,PG_LIST!$A:$A,0)&gt;0,"DNC 가능","Program 파일 없음"),"Program 파일 없음"))))</x:f>
      </x:c>
      <x:c r="M116" s="6" t="str">
        <x:f>IF(A116="","",IF(COUNTIF(MGMT_RULE!$A:$A,J116)&gt;0,"관리번호 전용 RULE",IF(COUNTIF(RULE_MAIN!$A:$A,H116)&gt;0,"정확 RULE",IF(COUNTIF(RULE_MAIN!$A:$A,I116)&gt;0,"ANY RULE","확정 RULE 필요"))))</x:f>
      </x:c>
      <x:c r="N116" s="6" t="str">
        <x:f t="shared" si="14"/>
      </x:c>
      <x:c r="O116" s="6" t="str">
        <x:f t="shared" si="15"/>
      </x:c>
    </x:row>
    <x:row r="117">
      <x:c r="A117" s="2"/>
      <x:c r="B117" s="2"/>
      <x:c r="C117" s="2"/>
      <x:c r="D117" s="2"/>
      <x:c r="E117" s="3" t="str">
        <x:f t="shared" si="8"/>
      </x:c>
      <x:c r="F117" s="3" t="str">
        <x:f t="shared" si="9"/>
      </x:c>
      <x:c r="G117" s="3" t="str">
        <x:f t="shared" si="10"/>
        <x:v>OMS2 확인</x:v>
      </x:c>
      <x:c r="H117" s="3" t="str">
        <x:f t="shared" si="11"/>
      </x:c>
      <x:c r="I117" s="3" t="str">
        <x:f t="shared" si="12"/>
      </x:c>
      <x:c r="J117" s="3" t="str">
        <x:f t="shared" si="13"/>
      </x:c>
      <x:c r="K117" s="4" t="str">
        <x:f>IF(A117="","",IFERROR(VLOOKUP(J117,MGMT_RULE!$A:$G,7,FALSE),IFERROR(VLOOKUP(H117,RULE_MAIN!$A:$F,6,FALSE),IFERROR(VLOOKUP(I117,RULE_MAIN!$A:$F,6,FALSE),"관리자 확인"))))</x:f>
      </x:c>
      <x:c r="L117" s="5" t="str">
        <x:f>IF(A117="","",IF(K117="관리자 확인","DNC 차단",IF(ISNUMBER(SEARCH("후보",K117)),"관리자 확인",IFERROR(IF(MATCH(K117,PG_LIST!$A:$A,0)&gt;0,"DNC 가능","Program 파일 없음"),"Program 파일 없음"))))</x:f>
      </x:c>
      <x:c r="M117" s="6" t="str">
        <x:f>IF(A117="","",IF(COUNTIF(MGMT_RULE!$A:$A,J117)&gt;0,"관리번호 전용 RULE",IF(COUNTIF(RULE_MAIN!$A:$A,H117)&gt;0,"정확 RULE",IF(COUNTIF(RULE_MAIN!$A:$A,I117)&gt;0,"ANY RULE","확정 RULE 필요"))))</x:f>
      </x:c>
      <x:c r="N117" s="6" t="str">
        <x:f t="shared" si="14"/>
      </x:c>
      <x:c r="O117" s="6" t="str">
        <x:f t="shared" si="15"/>
      </x:c>
    </x:row>
    <x:row r="118">
      <x:c r="A118" s="2"/>
      <x:c r="B118" s="2"/>
      <x:c r="C118" s="2"/>
      <x:c r="D118" s="2"/>
      <x:c r="E118" s="3" t="str">
        <x:f t="shared" si="8"/>
      </x:c>
      <x:c r="F118" s="3" t="str">
        <x:f t="shared" si="9"/>
      </x:c>
      <x:c r="G118" s="3" t="str">
        <x:f t="shared" si="10"/>
        <x:v>OMS2 확인</x:v>
      </x:c>
      <x:c r="H118" s="3" t="str">
        <x:f t="shared" si="11"/>
      </x:c>
      <x:c r="I118" s="3" t="str">
        <x:f t="shared" si="12"/>
      </x:c>
      <x:c r="J118" s="3" t="str">
        <x:f t="shared" si="13"/>
      </x:c>
      <x:c r="K118" s="4" t="str">
        <x:f>IF(A118="","",IFERROR(VLOOKUP(J118,MGMT_RULE!$A:$G,7,FALSE),IFERROR(VLOOKUP(H118,RULE_MAIN!$A:$F,6,FALSE),IFERROR(VLOOKUP(I118,RULE_MAIN!$A:$F,6,FALSE),"관리자 확인"))))</x:f>
      </x:c>
      <x:c r="L118" s="5" t="str">
        <x:f>IF(A118="","",IF(K118="관리자 확인","DNC 차단",IF(ISNUMBER(SEARCH("후보",K118)),"관리자 확인",IFERROR(IF(MATCH(K118,PG_LIST!$A:$A,0)&gt;0,"DNC 가능","Program 파일 없음"),"Program 파일 없음"))))</x:f>
      </x:c>
      <x:c r="M118" s="6" t="str">
        <x:f>IF(A118="","",IF(COUNTIF(MGMT_RULE!$A:$A,J118)&gt;0,"관리번호 전용 RULE",IF(COUNTIF(RULE_MAIN!$A:$A,H118)&gt;0,"정확 RULE",IF(COUNTIF(RULE_MAIN!$A:$A,I118)&gt;0,"ANY RULE","확정 RULE 필요"))))</x:f>
      </x:c>
      <x:c r="N118" s="6" t="str">
        <x:f t="shared" si="14"/>
      </x:c>
      <x:c r="O118" s="6" t="str">
        <x:f t="shared" si="15"/>
      </x:c>
    </x:row>
    <x:row r="119">
      <x:c r="A119" s="2"/>
      <x:c r="B119" s="2"/>
      <x:c r="C119" s="2"/>
      <x:c r="D119" s="2"/>
      <x:c r="E119" s="3" t="str">
        <x:f t="shared" si="8"/>
      </x:c>
      <x:c r="F119" s="3" t="str">
        <x:f t="shared" si="9"/>
      </x:c>
      <x:c r="G119" s="3" t="str">
        <x:f t="shared" si="10"/>
        <x:v>OMS2 확인</x:v>
      </x:c>
      <x:c r="H119" s="3" t="str">
        <x:f t="shared" si="11"/>
      </x:c>
      <x:c r="I119" s="3" t="str">
        <x:f t="shared" si="12"/>
      </x:c>
      <x:c r="J119" s="3" t="str">
        <x:f t="shared" si="13"/>
      </x:c>
      <x:c r="K119" s="4" t="str">
        <x:f>IF(A119="","",IFERROR(VLOOKUP(J119,MGMT_RULE!$A:$G,7,FALSE),IFERROR(VLOOKUP(H119,RULE_MAIN!$A:$F,6,FALSE),IFERROR(VLOOKUP(I119,RULE_MAIN!$A:$F,6,FALSE),"관리자 확인"))))</x:f>
      </x:c>
      <x:c r="L119" s="5" t="str">
        <x:f>IF(A119="","",IF(K119="관리자 확인","DNC 차단",IF(ISNUMBER(SEARCH("후보",K119)),"관리자 확인",IFERROR(IF(MATCH(K119,PG_LIST!$A:$A,0)&gt;0,"DNC 가능","Program 파일 없음"),"Program 파일 없음"))))</x:f>
      </x:c>
      <x:c r="M119" s="6" t="str">
        <x:f>IF(A119="","",IF(COUNTIF(MGMT_RULE!$A:$A,J119)&gt;0,"관리번호 전용 RULE",IF(COUNTIF(RULE_MAIN!$A:$A,H119)&gt;0,"정확 RULE",IF(COUNTIF(RULE_MAIN!$A:$A,I119)&gt;0,"ANY RULE","확정 RULE 필요"))))</x:f>
      </x:c>
      <x:c r="N119" s="6" t="str">
        <x:f t="shared" si="14"/>
      </x:c>
      <x:c r="O119" s="6" t="str">
        <x:f t="shared" si="15"/>
      </x:c>
    </x:row>
    <x:row r="120">
      <x:c r="A120" s="2"/>
      <x:c r="B120" s="2"/>
      <x:c r="C120" s="2"/>
      <x:c r="D120" s="2"/>
      <x:c r="E120" s="3" t="str">
        <x:f t="shared" si="8"/>
      </x:c>
      <x:c r="F120" s="3" t="str">
        <x:f t="shared" si="9"/>
      </x:c>
      <x:c r="G120" s="3" t="str">
        <x:f t="shared" si="10"/>
        <x:v>OMS2 확인</x:v>
      </x:c>
      <x:c r="H120" s="3" t="str">
        <x:f t="shared" si="11"/>
      </x:c>
      <x:c r="I120" s="3" t="str">
        <x:f t="shared" si="12"/>
      </x:c>
      <x:c r="J120" s="3" t="str">
        <x:f t="shared" si="13"/>
      </x:c>
      <x:c r="K120" s="4" t="str">
        <x:f>IF(A120="","",IFERROR(VLOOKUP(J120,MGMT_RULE!$A:$G,7,FALSE),IFERROR(VLOOKUP(H120,RULE_MAIN!$A:$F,6,FALSE),IFERROR(VLOOKUP(I120,RULE_MAIN!$A:$F,6,FALSE),"관리자 확인"))))</x:f>
      </x:c>
      <x:c r="L120" s="5" t="str">
        <x:f>IF(A120="","",IF(K120="관리자 확인","DNC 차단",IF(ISNUMBER(SEARCH("후보",K120)),"관리자 확인",IFERROR(IF(MATCH(K120,PG_LIST!$A:$A,0)&gt;0,"DNC 가능","Program 파일 없음"),"Program 파일 없음"))))</x:f>
      </x:c>
      <x:c r="M120" s="6" t="str">
        <x:f>IF(A120="","",IF(COUNTIF(MGMT_RULE!$A:$A,J120)&gt;0,"관리번호 전용 RULE",IF(COUNTIF(RULE_MAIN!$A:$A,H120)&gt;0,"정확 RULE",IF(COUNTIF(RULE_MAIN!$A:$A,I120)&gt;0,"ANY RULE","확정 RULE 필요"))))</x:f>
      </x:c>
      <x:c r="N120" s="6" t="str">
        <x:f t="shared" si="14"/>
      </x:c>
      <x:c r="O120" s="6" t="str">
        <x:f t="shared" si="15"/>
      </x:c>
    </x:row>
    <x:row r="121">
      <x:c r="A121" s="2"/>
      <x:c r="B121" s="2"/>
      <x:c r="C121" s="2"/>
      <x:c r="D121" s="2"/>
      <x:c r="E121" s="3" t="str">
        <x:f t="shared" si="8"/>
      </x:c>
      <x:c r="F121" s="3" t="str">
        <x:f t="shared" si="9"/>
      </x:c>
      <x:c r="G121" s="3" t="str">
        <x:f t="shared" si="10"/>
        <x:v>OMS2 확인</x:v>
      </x:c>
      <x:c r="H121" s="3" t="str">
        <x:f t="shared" si="11"/>
      </x:c>
      <x:c r="I121" s="3" t="str">
        <x:f t="shared" si="12"/>
      </x:c>
      <x:c r="J121" s="3" t="str">
        <x:f t="shared" si="13"/>
      </x:c>
      <x:c r="K121" s="4" t="str">
        <x:f>IF(A121="","",IFERROR(VLOOKUP(J121,MGMT_RULE!$A:$G,7,FALSE),IFERROR(VLOOKUP(H121,RULE_MAIN!$A:$F,6,FALSE),IFERROR(VLOOKUP(I121,RULE_MAIN!$A:$F,6,FALSE),"관리자 확인"))))</x:f>
      </x:c>
      <x:c r="L121" s="5" t="str">
        <x:f>IF(A121="","",IF(K121="관리자 확인","DNC 차단",IF(ISNUMBER(SEARCH("후보",K121)),"관리자 확인",IFERROR(IF(MATCH(K121,PG_LIST!$A:$A,0)&gt;0,"DNC 가능","Program 파일 없음"),"Program 파일 없음"))))</x:f>
      </x:c>
      <x:c r="M121" s="6" t="str">
        <x:f>IF(A121="","",IF(COUNTIF(MGMT_RULE!$A:$A,J121)&gt;0,"관리번호 전용 RULE",IF(COUNTIF(RULE_MAIN!$A:$A,H121)&gt;0,"정확 RULE",IF(COUNTIF(RULE_MAIN!$A:$A,I121)&gt;0,"ANY RULE","확정 RULE 필요"))))</x:f>
      </x:c>
      <x:c r="N121" s="6" t="str">
        <x:f t="shared" si="14"/>
      </x:c>
      <x:c r="O121" s="6" t="str">
        <x:f t="shared" si="15"/>
      </x:c>
    </x:row>
    <x:row r="122">
      <x:c r="A122" s="2"/>
      <x:c r="B122" s="2"/>
      <x:c r="C122" s="2"/>
      <x:c r="D122" s="2"/>
      <x:c r="E122" s="3" t="str">
        <x:f t="shared" si="8"/>
      </x:c>
      <x:c r="F122" s="3" t="str">
        <x:f t="shared" si="9"/>
      </x:c>
      <x:c r="G122" s="3" t="str">
        <x:f t="shared" si="10"/>
        <x:v>OMS2 확인</x:v>
      </x:c>
      <x:c r="H122" s="3" t="str">
        <x:f t="shared" si="11"/>
      </x:c>
      <x:c r="I122" s="3" t="str">
        <x:f t="shared" si="12"/>
      </x:c>
      <x:c r="J122" s="3" t="str">
        <x:f t="shared" si="13"/>
      </x:c>
      <x:c r="K122" s="4" t="str">
        <x:f>IF(A122="","",IFERROR(VLOOKUP(J122,MGMT_RULE!$A:$G,7,FALSE),IFERROR(VLOOKUP(H122,RULE_MAIN!$A:$F,6,FALSE),IFERROR(VLOOKUP(I122,RULE_MAIN!$A:$F,6,FALSE),"관리자 확인"))))</x:f>
      </x:c>
      <x:c r="L122" s="5" t="str">
        <x:f>IF(A122="","",IF(K122="관리자 확인","DNC 차단",IF(ISNUMBER(SEARCH("후보",K122)),"관리자 확인",IFERROR(IF(MATCH(K122,PG_LIST!$A:$A,0)&gt;0,"DNC 가능","Program 파일 없음"),"Program 파일 없음"))))</x:f>
      </x:c>
      <x:c r="M122" s="6" t="str">
        <x:f>IF(A122="","",IF(COUNTIF(MGMT_RULE!$A:$A,J122)&gt;0,"관리번호 전용 RULE",IF(COUNTIF(RULE_MAIN!$A:$A,H122)&gt;0,"정확 RULE",IF(COUNTIF(RULE_MAIN!$A:$A,I122)&gt;0,"ANY RULE","확정 RULE 필요"))))</x:f>
      </x:c>
      <x:c r="N122" s="6" t="str">
        <x:f t="shared" si="14"/>
      </x:c>
      <x:c r="O122" s="6" t="str">
        <x:f t="shared" si="15"/>
      </x:c>
    </x:row>
    <x:row r="123">
      <x:c r="A123" s="2"/>
      <x:c r="B123" s="2"/>
      <x:c r="C123" s="2"/>
      <x:c r="D123" s="2"/>
      <x:c r="E123" s="3" t="str">
        <x:f t="shared" si="8"/>
      </x:c>
      <x:c r="F123" s="3" t="str">
        <x:f t="shared" si="9"/>
      </x:c>
      <x:c r="G123" s="3" t="str">
        <x:f t="shared" si="10"/>
        <x:v>OMS2 확인</x:v>
      </x:c>
      <x:c r="H123" s="3" t="str">
        <x:f t="shared" si="11"/>
      </x:c>
      <x:c r="I123" s="3" t="str">
        <x:f t="shared" si="12"/>
      </x:c>
      <x:c r="J123" s="3" t="str">
        <x:f t="shared" si="13"/>
      </x:c>
      <x:c r="K123" s="4" t="str">
        <x:f>IF(A123="","",IFERROR(VLOOKUP(J123,MGMT_RULE!$A:$G,7,FALSE),IFERROR(VLOOKUP(H123,RULE_MAIN!$A:$F,6,FALSE),IFERROR(VLOOKUP(I123,RULE_MAIN!$A:$F,6,FALSE),"관리자 확인"))))</x:f>
      </x:c>
      <x:c r="L123" s="5" t="str">
        <x:f>IF(A123="","",IF(K123="관리자 확인","DNC 차단",IF(ISNUMBER(SEARCH("후보",K123)),"관리자 확인",IFERROR(IF(MATCH(K123,PG_LIST!$A:$A,0)&gt;0,"DNC 가능","Program 파일 없음"),"Program 파일 없음"))))</x:f>
      </x:c>
      <x:c r="M123" s="6" t="str">
        <x:f>IF(A123="","",IF(COUNTIF(MGMT_RULE!$A:$A,J123)&gt;0,"관리번호 전용 RULE",IF(COUNTIF(RULE_MAIN!$A:$A,H123)&gt;0,"정확 RULE",IF(COUNTIF(RULE_MAIN!$A:$A,I123)&gt;0,"ANY RULE","확정 RULE 필요"))))</x:f>
      </x:c>
      <x:c r="N123" s="6" t="str">
        <x:f t="shared" si="14"/>
      </x:c>
      <x:c r="O123" s="6" t="str">
        <x:f t="shared" si="15"/>
      </x:c>
    </x:row>
    <x:row r="124">
      <x:c r="A124" s="2"/>
      <x:c r="B124" s="2"/>
      <x:c r="C124" s="2"/>
      <x:c r="D124" s="2"/>
      <x:c r="E124" s="3" t="str">
        <x:f t="shared" si="8"/>
      </x:c>
      <x:c r="F124" s="3" t="str">
        <x:f t="shared" si="9"/>
      </x:c>
      <x:c r="G124" s="3" t="str">
        <x:f t="shared" si="10"/>
        <x:v>OMS2 확인</x:v>
      </x:c>
      <x:c r="H124" s="3" t="str">
        <x:f t="shared" si="11"/>
      </x:c>
      <x:c r="I124" s="3" t="str">
        <x:f t="shared" si="12"/>
      </x:c>
      <x:c r="J124" s="3" t="str">
        <x:f t="shared" si="13"/>
      </x:c>
      <x:c r="K124" s="4" t="str">
        <x:f>IF(A124="","",IFERROR(VLOOKUP(J124,MGMT_RULE!$A:$G,7,FALSE),IFERROR(VLOOKUP(H124,RULE_MAIN!$A:$F,6,FALSE),IFERROR(VLOOKUP(I124,RULE_MAIN!$A:$F,6,FALSE),"관리자 확인"))))</x:f>
      </x:c>
      <x:c r="L124" s="5" t="str">
        <x:f>IF(A124="","",IF(K124="관리자 확인","DNC 차단",IF(ISNUMBER(SEARCH("후보",K124)),"관리자 확인",IFERROR(IF(MATCH(K124,PG_LIST!$A:$A,0)&gt;0,"DNC 가능","Program 파일 없음"),"Program 파일 없음"))))</x:f>
      </x:c>
      <x:c r="M124" s="6" t="str">
        <x:f>IF(A124="","",IF(COUNTIF(MGMT_RULE!$A:$A,J124)&gt;0,"관리번호 전용 RULE",IF(COUNTIF(RULE_MAIN!$A:$A,H124)&gt;0,"정확 RULE",IF(COUNTIF(RULE_MAIN!$A:$A,I124)&gt;0,"ANY RULE","확정 RULE 필요"))))</x:f>
      </x:c>
      <x:c r="N124" s="6" t="str">
        <x:f t="shared" si="14"/>
      </x:c>
      <x:c r="O124" s="6" t="str">
        <x:f t="shared" si="15"/>
      </x:c>
    </x:row>
    <x:row r="125">
      <x:c r="A125" s="2"/>
      <x:c r="B125" s="2"/>
      <x:c r="C125" s="2"/>
      <x:c r="D125" s="2"/>
      <x:c r="E125" s="3" t="str">
        <x:f t="shared" si="8"/>
      </x:c>
      <x:c r="F125" s="3" t="str">
        <x:f t="shared" si="9"/>
      </x:c>
      <x:c r="G125" s="3" t="str">
        <x:f t="shared" si="10"/>
        <x:v>OMS2 확인</x:v>
      </x:c>
      <x:c r="H125" s="3" t="str">
        <x:f t="shared" si="11"/>
      </x:c>
      <x:c r="I125" s="3" t="str">
        <x:f t="shared" si="12"/>
      </x:c>
      <x:c r="J125" s="3" t="str">
        <x:f t="shared" si="13"/>
      </x:c>
      <x:c r="K125" s="4" t="str">
        <x:f>IF(A125="","",IFERROR(VLOOKUP(J125,MGMT_RULE!$A:$G,7,FALSE),IFERROR(VLOOKUP(H125,RULE_MAIN!$A:$F,6,FALSE),IFERROR(VLOOKUP(I125,RULE_MAIN!$A:$F,6,FALSE),"관리자 확인"))))</x:f>
      </x:c>
      <x:c r="L125" s="5" t="str">
        <x:f>IF(A125="","",IF(K125="관리자 확인","DNC 차단",IF(ISNUMBER(SEARCH("후보",K125)),"관리자 확인",IFERROR(IF(MATCH(K125,PG_LIST!$A:$A,0)&gt;0,"DNC 가능","Program 파일 없음"),"Program 파일 없음"))))</x:f>
      </x:c>
      <x:c r="M125" s="6" t="str">
        <x:f>IF(A125="","",IF(COUNTIF(MGMT_RULE!$A:$A,J125)&gt;0,"관리번호 전용 RULE",IF(COUNTIF(RULE_MAIN!$A:$A,H125)&gt;0,"정확 RULE",IF(COUNTIF(RULE_MAIN!$A:$A,I125)&gt;0,"ANY RULE","확정 RULE 필요"))))</x:f>
      </x:c>
      <x:c r="N125" s="6" t="str">
        <x:f t="shared" si="14"/>
      </x:c>
      <x:c r="O125" s="6" t="str">
        <x:f t="shared" si="15"/>
      </x:c>
    </x:row>
    <x:row r="126">
      <x:c r="A126" s="2"/>
      <x:c r="B126" s="2"/>
      <x:c r="C126" s="2"/>
      <x:c r="D126" s="2"/>
      <x:c r="E126" s="3" t="str">
        <x:f t="shared" si="8"/>
      </x:c>
      <x:c r="F126" s="3" t="str">
        <x:f t="shared" si="9"/>
      </x:c>
      <x:c r="G126" s="3" t="str">
        <x:f t="shared" si="10"/>
        <x:v>OMS2 확인</x:v>
      </x:c>
      <x:c r="H126" s="3" t="str">
        <x:f t="shared" si="11"/>
      </x:c>
      <x:c r="I126" s="3" t="str">
        <x:f t="shared" si="12"/>
      </x:c>
      <x:c r="J126" s="3" t="str">
        <x:f t="shared" si="13"/>
      </x:c>
      <x:c r="K126" s="4" t="str">
        <x:f>IF(A126="","",IFERROR(VLOOKUP(J126,MGMT_RULE!$A:$G,7,FALSE),IFERROR(VLOOKUP(H126,RULE_MAIN!$A:$F,6,FALSE),IFERROR(VLOOKUP(I126,RULE_MAIN!$A:$F,6,FALSE),"관리자 확인"))))</x:f>
      </x:c>
      <x:c r="L126" s="5" t="str">
        <x:f>IF(A126="","",IF(K126="관리자 확인","DNC 차단",IF(ISNUMBER(SEARCH("후보",K126)),"관리자 확인",IFERROR(IF(MATCH(K126,PG_LIST!$A:$A,0)&gt;0,"DNC 가능","Program 파일 없음"),"Program 파일 없음"))))</x:f>
      </x:c>
      <x:c r="M126" s="6" t="str">
        <x:f>IF(A126="","",IF(COUNTIF(MGMT_RULE!$A:$A,J126)&gt;0,"관리번호 전용 RULE",IF(COUNTIF(RULE_MAIN!$A:$A,H126)&gt;0,"정확 RULE",IF(COUNTIF(RULE_MAIN!$A:$A,I126)&gt;0,"ANY RULE","확정 RULE 필요"))))</x:f>
      </x:c>
      <x:c r="N126" s="6" t="str">
        <x:f t="shared" si="14"/>
      </x:c>
      <x:c r="O126" s="6" t="str">
        <x:f t="shared" si="15"/>
      </x:c>
    </x:row>
    <x:row r="127">
      <x:c r="A127" s="2"/>
      <x:c r="B127" s="2"/>
      <x:c r="C127" s="2"/>
      <x:c r="D127" s="2"/>
      <x:c r="E127" s="3" t="str">
        <x:f t="shared" si="8"/>
      </x:c>
      <x:c r="F127" s="3" t="str">
        <x:f t="shared" si="9"/>
      </x:c>
      <x:c r="G127" s="3" t="str">
        <x:f t="shared" si="10"/>
        <x:v>OMS2 확인</x:v>
      </x:c>
      <x:c r="H127" s="3" t="str">
        <x:f t="shared" si="11"/>
      </x:c>
      <x:c r="I127" s="3" t="str">
        <x:f t="shared" si="12"/>
      </x:c>
      <x:c r="J127" s="3" t="str">
        <x:f t="shared" si="13"/>
      </x:c>
      <x:c r="K127" s="4" t="str">
        <x:f>IF(A127="","",IFERROR(VLOOKUP(J127,MGMT_RULE!$A:$G,7,FALSE),IFERROR(VLOOKUP(H127,RULE_MAIN!$A:$F,6,FALSE),IFERROR(VLOOKUP(I127,RULE_MAIN!$A:$F,6,FALSE),"관리자 확인"))))</x:f>
      </x:c>
      <x:c r="L127" s="5" t="str">
        <x:f>IF(A127="","",IF(K127="관리자 확인","DNC 차단",IF(ISNUMBER(SEARCH("후보",K127)),"관리자 확인",IFERROR(IF(MATCH(K127,PG_LIST!$A:$A,0)&gt;0,"DNC 가능","Program 파일 없음"),"Program 파일 없음"))))</x:f>
      </x:c>
      <x:c r="M127" s="6" t="str">
        <x:f>IF(A127="","",IF(COUNTIF(MGMT_RULE!$A:$A,J127)&gt;0,"관리번호 전용 RULE",IF(COUNTIF(RULE_MAIN!$A:$A,H127)&gt;0,"정확 RULE",IF(COUNTIF(RULE_MAIN!$A:$A,I127)&gt;0,"ANY RULE","확정 RULE 필요"))))</x:f>
      </x:c>
      <x:c r="N127" s="6" t="str">
        <x:f t="shared" si="14"/>
      </x:c>
      <x:c r="O127" s="6" t="str">
        <x:f t="shared" si="15"/>
      </x:c>
    </x:row>
    <x:row r="128">
      <x:c r="A128" s="2"/>
      <x:c r="B128" s="2"/>
      <x:c r="C128" s="2"/>
      <x:c r="D128" s="2"/>
      <x:c r="E128" s="3" t="str">
        <x:f t="shared" si="8"/>
      </x:c>
      <x:c r="F128" s="3" t="str">
        <x:f t="shared" si="9"/>
      </x:c>
      <x:c r="G128" s="3" t="str">
        <x:f t="shared" si="10"/>
        <x:v>OMS2 확인</x:v>
      </x:c>
      <x:c r="H128" s="3" t="str">
        <x:f t="shared" si="11"/>
      </x:c>
      <x:c r="I128" s="3" t="str">
        <x:f t="shared" si="12"/>
      </x:c>
      <x:c r="J128" s="3" t="str">
        <x:f t="shared" si="13"/>
      </x:c>
      <x:c r="K128" s="4" t="str">
        <x:f>IF(A128="","",IFERROR(VLOOKUP(J128,MGMT_RULE!$A:$G,7,FALSE),IFERROR(VLOOKUP(H128,RULE_MAIN!$A:$F,6,FALSE),IFERROR(VLOOKUP(I128,RULE_MAIN!$A:$F,6,FALSE),"관리자 확인"))))</x:f>
      </x:c>
      <x:c r="L128" s="5" t="str">
        <x:f>IF(A128="","",IF(K128="관리자 확인","DNC 차단",IF(ISNUMBER(SEARCH("후보",K128)),"관리자 확인",IFERROR(IF(MATCH(K128,PG_LIST!$A:$A,0)&gt;0,"DNC 가능","Program 파일 없음"),"Program 파일 없음"))))</x:f>
      </x:c>
      <x:c r="M128" s="6" t="str">
        <x:f>IF(A128="","",IF(COUNTIF(MGMT_RULE!$A:$A,J128)&gt;0,"관리번호 전용 RULE",IF(COUNTIF(RULE_MAIN!$A:$A,H128)&gt;0,"정확 RULE",IF(COUNTIF(RULE_MAIN!$A:$A,I128)&gt;0,"ANY RULE","확정 RULE 필요"))))</x:f>
      </x:c>
      <x:c r="N128" s="6" t="str">
        <x:f t="shared" si="14"/>
      </x:c>
      <x:c r="O128" s="6" t="str">
        <x:f t="shared" si="15"/>
      </x:c>
    </x:row>
    <x:row r="129">
      <x:c r="A129" s="2"/>
      <x:c r="B129" s="2"/>
      <x:c r="C129" s="2"/>
      <x:c r="D129" s="2"/>
      <x:c r="E129" s="3" t="str">
        <x:f t="shared" si="8"/>
      </x:c>
      <x:c r="F129" s="3" t="str">
        <x:f t="shared" si="9"/>
      </x:c>
      <x:c r="G129" s="3" t="str">
        <x:f t="shared" si="10"/>
        <x:v>OMS2 확인</x:v>
      </x:c>
      <x:c r="H129" s="3" t="str">
        <x:f t="shared" si="11"/>
      </x:c>
      <x:c r="I129" s="3" t="str">
        <x:f t="shared" si="12"/>
      </x:c>
      <x:c r="J129" s="3" t="str">
        <x:f t="shared" si="13"/>
      </x:c>
      <x:c r="K129" s="4" t="str">
        <x:f>IF(A129="","",IFERROR(VLOOKUP(J129,MGMT_RULE!$A:$G,7,FALSE),IFERROR(VLOOKUP(H129,RULE_MAIN!$A:$F,6,FALSE),IFERROR(VLOOKUP(I129,RULE_MAIN!$A:$F,6,FALSE),"관리자 확인"))))</x:f>
      </x:c>
      <x:c r="L129" s="5" t="str">
        <x:f>IF(A129="","",IF(K129="관리자 확인","DNC 차단",IF(ISNUMBER(SEARCH("후보",K129)),"관리자 확인",IFERROR(IF(MATCH(K129,PG_LIST!$A:$A,0)&gt;0,"DNC 가능","Program 파일 없음"),"Program 파일 없음"))))</x:f>
      </x:c>
      <x:c r="M129" s="6" t="str">
        <x:f>IF(A129="","",IF(COUNTIF(MGMT_RULE!$A:$A,J129)&gt;0,"관리번호 전용 RULE",IF(COUNTIF(RULE_MAIN!$A:$A,H129)&gt;0,"정확 RULE",IF(COUNTIF(RULE_MAIN!$A:$A,I129)&gt;0,"ANY RULE","확정 RULE 필요"))))</x:f>
      </x:c>
      <x:c r="N129" s="6" t="str">
        <x:f t="shared" si="14"/>
      </x:c>
      <x:c r="O129" s="6" t="str">
        <x:f t="shared" si="15"/>
      </x:c>
    </x:row>
    <x:row r="130">
      <x:c r="A130" s="2"/>
      <x:c r="B130" s="2"/>
      <x:c r="C130" s="2"/>
      <x:c r="D130" s="2"/>
      <x:c r="E130" s="3" t="str">
        <x:f t="shared" si="8"/>
      </x:c>
      <x:c r="F130" s="3" t="str">
        <x:f t="shared" si="9"/>
      </x:c>
      <x:c r="G130" s="3" t="str">
        <x:f t="shared" si="10"/>
        <x:v>OMS2 확인</x:v>
      </x:c>
      <x:c r="H130" s="3" t="str">
        <x:f t="shared" si="11"/>
      </x:c>
      <x:c r="I130" s="3" t="str">
        <x:f t="shared" si="12"/>
      </x:c>
      <x:c r="J130" s="3" t="str">
        <x:f t="shared" si="13"/>
      </x:c>
      <x:c r="K130" s="4" t="str">
        <x:f>IF(A130="","",IFERROR(VLOOKUP(J130,MGMT_RULE!$A:$G,7,FALSE),IFERROR(VLOOKUP(H130,RULE_MAIN!$A:$F,6,FALSE),IFERROR(VLOOKUP(I130,RULE_MAIN!$A:$F,6,FALSE),"관리자 확인"))))</x:f>
      </x:c>
      <x:c r="L130" s="5" t="str">
        <x:f>IF(A130="","",IF(K130="관리자 확인","DNC 차단",IF(ISNUMBER(SEARCH("후보",K130)),"관리자 확인",IFERROR(IF(MATCH(K130,PG_LIST!$A:$A,0)&gt;0,"DNC 가능","Program 파일 없음"),"Program 파일 없음"))))</x:f>
      </x:c>
      <x:c r="M130" s="6" t="str">
        <x:f>IF(A130="","",IF(COUNTIF(MGMT_RULE!$A:$A,J130)&gt;0,"관리번호 전용 RULE",IF(COUNTIF(RULE_MAIN!$A:$A,H130)&gt;0,"정확 RULE",IF(COUNTIF(RULE_MAIN!$A:$A,I130)&gt;0,"ANY RULE","확정 RULE 필요"))))</x:f>
      </x:c>
      <x:c r="N130" s="6" t="str">
        <x:f t="shared" si="14"/>
      </x:c>
      <x:c r="O130" s="6" t="str">
        <x:f t="shared" si="15"/>
      </x:c>
    </x:row>
    <x:row r="131">
      <x:c r="A131" s="2"/>
      <x:c r="B131" s="2"/>
      <x:c r="C131" s="2"/>
      <x:c r="D131" s="2"/>
      <x:c r="E131" s="3" t="str">
        <x:f t="shared" si="8"/>
      </x:c>
      <x:c r="F131" s="3" t="str">
        <x:f t="shared" si="9"/>
      </x:c>
      <x:c r="G131" s="3" t="str">
        <x:f t="shared" si="10"/>
        <x:v>OMS2 확인</x:v>
      </x:c>
      <x:c r="H131" s="3" t="str">
        <x:f t="shared" si="11"/>
      </x:c>
      <x:c r="I131" s="3" t="str">
        <x:f t="shared" si="12"/>
      </x:c>
      <x:c r="J131" s="3" t="str">
        <x:f t="shared" si="13"/>
      </x:c>
      <x:c r="K131" s="4" t="str">
        <x:f>IF(A131="","",IFERROR(VLOOKUP(J131,MGMT_RULE!$A:$G,7,FALSE),IFERROR(VLOOKUP(H131,RULE_MAIN!$A:$F,6,FALSE),IFERROR(VLOOKUP(I131,RULE_MAIN!$A:$F,6,FALSE),"관리자 확인"))))</x:f>
      </x:c>
      <x:c r="L131" s="5" t="str">
        <x:f>IF(A131="","",IF(K131="관리자 확인","DNC 차단",IF(ISNUMBER(SEARCH("후보",K131)),"관리자 확인",IFERROR(IF(MATCH(K131,PG_LIST!$A:$A,0)&gt;0,"DNC 가능","Program 파일 없음"),"Program 파일 없음"))))</x:f>
      </x:c>
      <x:c r="M131" s="6" t="str">
        <x:f>IF(A131="","",IF(COUNTIF(MGMT_RULE!$A:$A,J131)&gt;0,"관리번호 전용 RULE",IF(COUNTIF(RULE_MAIN!$A:$A,H131)&gt;0,"정확 RULE",IF(COUNTIF(RULE_MAIN!$A:$A,I131)&gt;0,"ANY RULE","확정 RULE 필요"))))</x:f>
      </x:c>
      <x:c r="N131" s="6" t="str">
        <x:f t="shared" si="14"/>
      </x:c>
      <x:c r="O131" s="6" t="str">
        <x:f t="shared" si="15"/>
      </x:c>
    </x:row>
    <x:row r="132">
      <x:c r="A132" s="2"/>
      <x:c r="B132" s="2"/>
      <x:c r="C132" s="2"/>
      <x:c r="D132" s="2"/>
      <x:c r="E132" s="3" t="str">
        <x:f t="shared" ref="E132:E195" si="16">IF(A132="","",LEFT(A132,3))</x:f>
      </x:c>
      <x:c r="F132" s="3" t="str">
        <x:f t="shared" ref="F132:F195" si="17">IF(C132="","",IF(ISNUMBER(SEARCH("415 516",C132)),"415-516",IF(ISNUMBER(SEARCH("415 515",C132)),"415-515",IF(ISNUMBER(SEARCH("413 513",C132)),"413-513",IF(ISNUMBER(SEARCH("411 512",C132)),"411-512","SIZE 확인")))))</x:f>
      </x:c>
      <x:c r="G132" s="3" t="str">
        <x:f t="shared" ref="G132:G195" si="18">IF(D132="","OMS2 확인",IF(OR(ISNUMBER(SEARCH("우측10",D132)),ISNUMBER(SEARCH("우측 10",D132))),"우측10mm",IF(ISNUMBER(SEARCH("방향홀",D132)),"방향홀",IF(ISNUMBER(SEARCH("후가공(2차)",D132)),"후가공(2차)",IF(ISNUMBER(SEARCH("후가공(1차)",D132)),"후가공(1차)",IF(ISNUMBER(SEARCH("센터",D132)),"CENTER",IF(ISNUMBER(SEARCH("SIZE 유의",D132)),"주의문구","OMS2 확인")))))))</x:f>
        <x:v>OMS2 확인</x:v>
      </x:c>
      <x:c r="H132" s="3" t="str">
        <x:f t="shared" ref="H132:H195" si="19">IF(A132="","",E132&amp;"|"&amp;B132&amp;"|"&amp;F132&amp;"|"&amp;G132)</x:f>
      </x:c>
      <x:c r="I132" s="3" t="str">
        <x:f t="shared" ref="I132:I195" si="20">IF(A132="","",E132&amp;"|"&amp;B132&amp;"|"&amp;F132&amp;"|ANY")</x:f>
      </x:c>
      <x:c r="J132" s="3" t="str">
        <x:f t="shared" ref="J132:J195" si="21">IF(A132="","",A132&amp;"|"&amp;B132&amp;"|"&amp;F132&amp;"|"&amp;G132)</x:f>
      </x:c>
      <x:c r="K132" s="4" t="str">
        <x:f>IF(A132="","",IFERROR(VLOOKUP(J132,MGMT_RULE!$A:$G,7,FALSE),IFERROR(VLOOKUP(H132,RULE_MAIN!$A:$F,6,FALSE),IFERROR(VLOOKUP(I132,RULE_MAIN!$A:$F,6,FALSE),"관리자 확인"))))</x:f>
      </x:c>
      <x:c r="L132" s="5" t="str">
        <x:f>IF(A132="","",IF(K132="관리자 확인","DNC 차단",IF(ISNUMBER(SEARCH("후보",K132)),"관리자 확인",IFERROR(IF(MATCH(K132,PG_LIST!$A:$A,0)&gt;0,"DNC 가능","Program 파일 없음"),"Program 파일 없음"))))</x:f>
      </x:c>
      <x:c r="M132" s="6" t="str">
        <x:f>IF(A132="","",IF(COUNTIF(MGMT_RULE!$A:$A,J132)&gt;0,"관리번호 전용 RULE",IF(COUNTIF(RULE_MAIN!$A:$A,H132)&gt;0,"정확 RULE",IF(COUNTIF(RULE_MAIN!$A:$A,I132)&gt;0,"ANY RULE","확정 RULE 필요"))))</x:f>
      </x:c>
      <x:c r="N132" s="6" t="str">
        <x:f t="shared" ref="N132:N195" si="22">IF(A132="","",IF(ISNUMBER(SEARCH("후보",K132)),"동일 조건 Program 후보 2개 이상",IF(K132="관리자 확인","조건 미등록","")))</x:f>
      </x:c>
      <x:c r="O132" s="6" t="str">
        <x:f t="shared" ref="O132:O195" si="23">IF(A132="","",IF(OR(F132="SIZE 확인",G132="OMS2 확인"),"OMS 문구 확인 필요",""))</x:f>
      </x:c>
    </x:row>
    <x:row r="133">
      <x:c r="A133" s="2"/>
      <x:c r="B133" s="2"/>
      <x:c r="C133" s="2"/>
      <x:c r="D133" s="2"/>
      <x:c r="E133" s="3" t="str">
        <x:f t="shared" si="16"/>
      </x:c>
      <x:c r="F133" s="3" t="str">
        <x:f t="shared" si="17"/>
      </x:c>
      <x:c r="G133" s="3" t="str">
        <x:f t="shared" si="18"/>
        <x:v>OMS2 확인</x:v>
      </x:c>
      <x:c r="H133" s="3" t="str">
        <x:f t="shared" si="19"/>
      </x:c>
      <x:c r="I133" s="3" t="str">
        <x:f t="shared" si="20"/>
      </x:c>
      <x:c r="J133" s="3" t="str">
        <x:f t="shared" si="21"/>
      </x:c>
      <x:c r="K133" s="4" t="str">
        <x:f>IF(A133="","",IFERROR(VLOOKUP(J133,MGMT_RULE!$A:$G,7,FALSE),IFERROR(VLOOKUP(H133,RULE_MAIN!$A:$F,6,FALSE),IFERROR(VLOOKUP(I133,RULE_MAIN!$A:$F,6,FALSE),"관리자 확인"))))</x:f>
      </x:c>
      <x:c r="L133" s="5" t="str">
        <x:f>IF(A133="","",IF(K133="관리자 확인","DNC 차단",IF(ISNUMBER(SEARCH("후보",K133)),"관리자 확인",IFERROR(IF(MATCH(K133,PG_LIST!$A:$A,0)&gt;0,"DNC 가능","Program 파일 없음"),"Program 파일 없음"))))</x:f>
      </x:c>
      <x:c r="M133" s="6" t="str">
        <x:f>IF(A133="","",IF(COUNTIF(MGMT_RULE!$A:$A,J133)&gt;0,"관리번호 전용 RULE",IF(COUNTIF(RULE_MAIN!$A:$A,H133)&gt;0,"정확 RULE",IF(COUNTIF(RULE_MAIN!$A:$A,I133)&gt;0,"ANY RULE","확정 RULE 필요"))))</x:f>
      </x:c>
      <x:c r="N133" s="6" t="str">
        <x:f t="shared" si="22"/>
      </x:c>
      <x:c r="O133" s="6" t="str">
        <x:f t="shared" si="23"/>
      </x:c>
    </x:row>
    <x:row r="134">
      <x:c r="A134" s="2"/>
      <x:c r="B134" s="2"/>
      <x:c r="C134" s="2"/>
      <x:c r="D134" s="2"/>
      <x:c r="E134" s="3" t="str">
        <x:f t="shared" si="16"/>
      </x:c>
      <x:c r="F134" s="3" t="str">
        <x:f t="shared" si="17"/>
      </x:c>
      <x:c r="G134" s="3" t="str">
        <x:f t="shared" si="18"/>
        <x:v>OMS2 확인</x:v>
      </x:c>
      <x:c r="H134" s="3" t="str">
        <x:f t="shared" si="19"/>
      </x:c>
      <x:c r="I134" s="3" t="str">
        <x:f t="shared" si="20"/>
      </x:c>
      <x:c r="J134" s="3" t="str">
        <x:f t="shared" si="21"/>
      </x:c>
      <x:c r="K134" s="4" t="str">
        <x:f>IF(A134="","",IFERROR(VLOOKUP(J134,MGMT_RULE!$A:$G,7,FALSE),IFERROR(VLOOKUP(H134,RULE_MAIN!$A:$F,6,FALSE),IFERROR(VLOOKUP(I134,RULE_MAIN!$A:$F,6,FALSE),"관리자 확인"))))</x:f>
      </x:c>
      <x:c r="L134" s="5" t="str">
        <x:f>IF(A134="","",IF(K134="관리자 확인","DNC 차단",IF(ISNUMBER(SEARCH("후보",K134)),"관리자 확인",IFERROR(IF(MATCH(K134,PG_LIST!$A:$A,0)&gt;0,"DNC 가능","Program 파일 없음"),"Program 파일 없음"))))</x:f>
      </x:c>
      <x:c r="M134" s="6" t="str">
        <x:f>IF(A134="","",IF(COUNTIF(MGMT_RULE!$A:$A,J134)&gt;0,"관리번호 전용 RULE",IF(COUNTIF(RULE_MAIN!$A:$A,H134)&gt;0,"정확 RULE",IF(COUNTIF(RULE_MAIN!$A:$A,I134)&gt;0,"ANY RULE","확정 RULE 필요"))))</x:f>
      </x:c>
      <x:c r="N134" s="6" t="str">
        <x:f t="shared" si="22"/>
      </x:c>
      <x:c r="O134" s="6" t="str">
        <x:f t="shared" si="23"/>
      </x:c>
    </x:row>
    <x:row r="135">
      <x:c r="A135" s="2"/>
      <x:c r="B135" s="2"/>
      <x:c r="C135" s="2"/>
      <x:c r="D135" s="2"/>
      <x:c r="E135" s="3" t="str">
        <x:f t="shared" si="16"/>
      </x:c>
      <x:c r="F135" s="3" t="str">
        <x:f t="shared" si="17"/>
      </x:c>
      <x:c r="G135" s="3" t="str">
        <x:f t="shared" si="18"/>
        <x:v>OMS2 확인</x:v>
      </x:c>
      <x:c r="H135" s="3" t="str">
        <x:f t="shared" si="19"/>
      </x:c>
      <x:c r="I135" s="3" t="str">
        <x:f t="shared" si="20"/>
      </x:c>
      <x:c r="J135" s="3" t="str">
        <x:f t="shared" si="21"/>
      </x:c>
      <x:c r="K135" s="4" t="str">
        <x:f>IF(A135="","",IFERROR(VLOOKUP(J135,MGMT_RULE!$A:$G,7,FALSE),IFERROR(VLOOKUP(H135,RULE_MAIN!$A:$F,6,FALSE),IFERROR(VLOOKUP(I135,RULE_MAIN!$A:$F,6,FALSE),"관리자 확인"))))</x:f>
      </x:c>
      <x:c r="L135" s="5" t="str">
        <x:f>IF(A135="","",IF(K135="관리자 확인","DNC 차단",IF(ISNUMBER(SEARCH("후보",K135)),"관리자 확인",IFERROR(IF(MATCH(K135,PG_LIST!$A:$A,0)&gt;0,"DNC 가능","Program 파일 없음"),"Program 파일 없음"))))</x:f>
      </x:c>
      <x:c r="M135" s="6" t="str">
        <x:f>IF(A135="","",IF(COUNTIF(MGMT_RULE!$A:$A,J135)&gt;0,"관리번호 전용 RULE",IF(COUNTIF(RULE_MAIN!$A:$A,H135)&gt;0,"정확 RULE",IF(COUNTIF(RULE_MAIN!$A:$A,I135)&gt;0,"ANY RULE","확정 RULE 필요"))))</x:f>
      </x:c>
      <x:c r="N135" s="6" t="str">
        <x:f t="shared" si="22"/>
      </x:c>
      <x:c r="O135" s="6" t="str">
        <x:f t="shared" si="23"/>
      </x:c>
    </x:row>
    <x:row r="136">
      <x:c r="A136" s="2"/>
      <x:c r="B136" s="2"/>
      <x:c r="C136" s="2"/>
      <x:c r="D136" s="2"/>
      <x:c r="E136" s="3" t="str">
        <x:f t="shared" si="16"/>
      </x:c>
      <x:c r="F136" s="3" t="str">
        <x:f t="shared" si="17"/>
      </x:c>
      <x:c r="G136" s="3" t="str">
        <x:f t="shared" si="18"/>
        <x:v>OMS2 확인</x:v>
      </x:c>
      <x:c r="H136" s="3" t="str">
        <x:f t="shared" si="19"/>
      </x:c>
      <x:c r="I136" s="3" t="str">
        <x:f t="shared" si="20"/>
      </x:c>
      <x:c r="J136" s="3" t="str">
        <x:f t="shared" si="21"/>
      </x:c>
      <x:c r="K136" s="4" t="str">
        <x:f>IF(A136="","",IFERROR(VLOOKUP(J136,MGMT_RULE!$A:$G,7,FALSE),IFERROR(VLOOKUP(H136,RULE_MAIN!$A:$F,6,FALSE),IFERROR(VLOOKUP(I136,RULE_MAIN!$A:$F,6,FALSE),"관리자 확인"))))</x:f>
      </x:c>
      <x:c r="L136" s="5" t="str">
        <x:f>IF(A136="","",IF(K136="관리자 확인","DNC 차단",IF(ISNUMBER(SEARCH("후보",K136)),"관리자 확인",IFERROR(IF(MATCH(K136,PG_LIST!$A:$A,0)&gt;0,"DNC 가능","Program 파일 없음"),"Program 파일 없음"))))</x:f>
      </x:c>
      <x:c r="M136" s="6" t="str">
        <x:f>IF(A136="","",IF(COUNTIF(MGMT_RULE!$A:$A,J136)&gt;0,"관리번호 전용 RULE",IF(COUNTIF(RULE_MAIN!$A:$A,H136)&gt;0,"정확 RULE",IF(COUNTIF(RULE_MAIN!$A:$A,I136)&gt;0,"ANY RULE","확정 RULE 필요"))))</x:f>
      </x:c>
      <x:c r="N136" s="6" t="str">
        <x:f t="shared" si="22"/>
      </x:c>
      <x:c r="O136" s="6" t="str">
        <x:f t="shared" si="23"/>
      </x:c>
    </x:row>
    <x:row r="137">
      <x:c r="A137" s="2"/>
      <x:c r="B137" s="2"/>
      <x:c r="C137" s="2"/>
      <x:c r="D137" s="2"/>
      <x:c r="E137" s="3" t="str">
        <x:f t="shared" si="16"/>
      </x:c>
      <x:c r="F137" s="3" t="str">
        <x:f t="shared" si="17"/>
      </x:c>
      <x:c r="G137" s="3" t="str">
        <x:f t="shared" si="18"/>
        <x:v>OMS2 확인</x:v>
      </x:c>
      <x:c r="H137" s="3" t="str">
        <x:f t="shared" si="19"/>
      </x:c>
      <x:c r="I137" s="3" t="str">
        <x:f t="shared" si="20"/>
      </x:c>
      <x:c r="J137" s="3" t="str">
        <x:f t="shared" si="21"/>
      </x:c>
      <x:c r="K137" s="4" t="str">
        <x:f>IF(A137="","",IFERROR(VLOOKUP(J137,MGMT_RULE!$A:$G,7,FALSE),IFERROR(VLOOKUP(H137,RULE_MAIN!$A:$F,6,FALSE),IFERROR(VLOOKUP(I137,RULE_MAIN!$A:$F,6,FALSE),"관리자 확인"))))</x:f>
      </x:c>
      <x:c r="L137" s="5" t="str">
        <x:f>IF(A137="","",IF(K137="관리자 확인","DNC 차단",IF(ISNUMBER(SEARCH("후보",K137)),"관리자 확인",IFERROR(IF(MATCH(K137,PG_LIST!$A:$A,0)&gt;0,"DNC 가능","Program 파일 없음"),"Program 파일 없음"))))</x:f>
      </x:c>
      <x:c r="M137" s="6" t="str">
        <x:f>IF(A137="","",IF(COUNTIF(MGMT_RULE!$A:$A,J137)&gt;0,"관리번호 전용 RULE",IF(COUNTIF(RULE_MAIN!$A:$A,H137)&gt;0,"정확 RULE",IF(COUNTIF(RULE_MAIN!$A:$A,I137)&gt;0,"ANY RULE","확정 RULE 필요"))))</x:f>
      </x:c>
      <x:c r="N137" s="6" t="str">
        <x:f t="shared" si="22"/>
      </x:c>
      <x:c r="O137" s="6" t="str">
        <x:f t="shared" si="23"/>
      </x:c>
    </x:row>
    <x:row r="138">
      <x:c r="A138" s="2"/>
      <x:c r="B138" s="2"/>
      <x:c r="C138" s="2"/>
      <x:c r="D138" s="2"/>
      <x:c r="E138" s="3" t="str">
        <x:f t="shared" si="16"/>
      </x:c>
      <x:c r="F138" s="3" t="str">
        <x:f t="shared" si="17"/>
      </x:c>
      <x:c r="G138" s="3" t="str">
        <x:f t="shared" si="18"/>
        <x:v>OMS2 확인</x:v>
      </x:c>
      <x:c r="H138" s="3" t="str">
        <x:f t="shared" si="19"/>
      </x:c>
      <x:c r="I138" s="3" t="str">
        <x:f t="shared" si="20"/>
      </x:c>
      <x:c r="J138" s="3" t="str">
        <x:f t="shared" si="21"/>
      </x:c>
      <x:c r="K138" s="4" t="str">
        <x:f>IF(A138="","",IFERROR(VLOOKUP(J138,MGMT_RULE!$A:$G,7,FALSE),IFERROR(VLOOKUP(H138,RULE_MAIN!$A:$F,6,FALSE),IFERROR(VLOOKUP(I138,RULE_MAIN!$A:$F,6,FALSE),"관리자 확인"))))</x:f>
      </x:c>
      <x:c r="L138" s="5" t="str">
        <x:f>IF(A138="","",IF(K138="관리자 확인","DNC 차단",IF(ISNUMBER(SEARCH("후보",K138)),"관리자 확인",IFERROR(IF(MATCH(K138,PG_LIST!$A:$A,0)&gt;0,"DNC 가능","Program 파일 없음"),"Program 파일 없음"))))</x:f>
      </x:c>
      <x:c r="M138" s="6" t="str">
        <x:f>IF(A138="","",IF(COUNTIF(MGMT_RULE!$A:$A,J138)&gt;0,"관리번호 전용 RULE",IF(COUNTIF(RULE_MAIN!$A:$A,H138)&gt;0,"정확 RULE",IF(COUNTIF(RULE_MAIN!$A:$A,I138)&gt;0,"ANY RULE","확정 RULE 필요"))))</x:f>
      </x:c>
      <x:c r="N138" s="6" t="str">
        <x:f t="shared" si="22"/>
      </x:c>
      <x:c r="O138" s="6" t="str">
        <x:f t="shared" si="23"/>
      </x:c>
    </x:row>
    <x:row r="139">
      <x:c r="A139" s="2"/>
      <x:c r="B139" s="2"/>
      <x:c r="C139" s="2"/>
      <x:c r="D139" s="2"/>
      <x:c r="E139" s="3" t="str">
        <x:f t="shared" si="16"/>
      </x:c>
      <x:c r="F139" s="3" t="str">
        <x:f t="shared" si="17"/>
      </x:c>
      <x:c r="G139" s="3" t="str">
        <x:f t="shared" si="18"/>
        <x:v>OMS2 확인</x:v>
      </x:c>
      <x:c r="H139" s="3" t="str">
        <x:f t="shared" si="19"/>
      </x:c>
      <x:c r="I139" s="3" t="str">
        <x:f t="shared" si="20"/>
      </x:c>
      <x:c r="J139" s="3" t="str">
        <x:f t="shared" si="21"/>
      </x:c>
      <x:c r="K139" s="4" t="str">
        <x:f>IF(A139="","",IFERROR(VLOOKUP(J139,MGMT_RULE!$A:$G,7,FALSE),IFERROR(VLOOKUP(H139,RULE_MAIN!$A:$F,6,FALSE),IFERROR(VLOOKUP(I139,RULE_MAIN!$A:$F,6,FALSE),"관리자 확인"))))</x:f>
      </x:c>
      <x:c r="L139" s="5" t="str">
        <x:f>IF(A139="","",IF(K139="관리자 확인","DNC 차단",IF(ISNUMBER(SEARCH("후보",K139)),"관리자 확인",IFERROR(IF(MATCH(K139,PG_LIST!$A:$A,0)&gt;0,"DNC 가능","Program 파일 없음"),"Program 파일 없음"))))</x:f>
      </x:c>
      <x:c r="M139" s="6" t="str">
        <x:f>IF(A139="","",IF(COUNTIF(MGMT_RULE!$A:$A,J139)&gt;0,"관리번호 전용 RULE",IF(COUNTIF(RULE_MAIN!$A:$A,H139)&gt;0,"정확 RULE",IF(COUNTIF(RULE_MAIN!$A:$A,I139)&gt;0,"ANY RULE","확정 RULE 필요"))))</x:f>
      </x:c>
      <x:c r="N139" s="6" t="str">
        <x:f t="shared" si="22"/>
      </x:c>
      <x:c r="O139" s="6" t="str">
        <x:f t="shared" si="23"/>
      </x:c>
    </x:row>
    <x:row r="140">
      <x:c r="A140" s="2"/>
      <x:c r="B140" s="2"/>
      <x:c r="C140" s="2"/>
      <x:c r="D140" s="2"/>
      <x:c r="E140" s="3" t="str">
        <x:f t="shared" si="16"/>
      </x:c>
      <x:c r="F140" s="3" t="str">
        <x:f t="shared" si="17"/>
      </x:c>
      <x:c r="G140" s="3" t="str">
        <x:f t="shared" si="18"/>
        <x:v>OMS2 확인</x:v>
      </x:c>
      <x:c r="H140" s="3" t="str">
        <x:f t="shared" si="19"/>
      </x:c>
      <x:c r="I140" s="3" t="str">
        <x:f t="shared" si="20"/>
      </x:c>
      <x:c r="J140" s="3" t="str">
        <x:f t="shared" si="21"/>
      </x:c>
      <x:c r="K140" s="4" t="str">
        <x:f>IF(A140="","",IFERROR(VLOOKUP(J140,MGMT_RULE!$A:$G,7,FALSE),IFERROR(VLOOKUP(H140,RULE_MAIN!$A:$F,6,FALSE),IFERROR(VLOOKUP(I140,RULE_MAIN!$A:$F,6,FALSE),"관리자 확인"))))</x:f>
      </x:c>
      <x:c r="L140" s="5" t="str">
        <x:f>IF(A140="","",IF(K140="관리자 확인","DNC 차단",IF(ISNUMBER(SEARCH("후보",K140)),"관리자 확인",IFERROR(IF(MATCH(K140,PG_LIST!$A:$A,0)&gt;0,"DNC 가능","Program 파일 없음"),"Program 파일 없음"))))</x:f>
      </x:c>
      <x:c r="M140" s="6" t="str">
        <x:f>IF(A140="","",IF(COUNTIF(MGMT_RULE!$A:$A,J140)&gt;0,"관리번호 전용 RULE",IF(COUNTIF(RULE_MAIN!$A:$A,H140)&gt;0,"정확 RULE",IF(COUNTIF(RULE_MAIN!$A:$A,I140)&gt;0,"ANY RULE","확정 RULE 필요"))))</x:f>
      </x:c>
      <x:c r="N140" s="6" t="str">
        <x:f t="shared" si="22"/>
      </x:c>
      <x:c r="O140" s="6" t="str">
        <x:f t="shared" si="23"/>
      </x:c>
    </x:row>
    <x:row r="141">
      <x:c r="A141" s="2"/>
      <x:c r="B141" s="2"/>
      <x:c r="C141" s="2"/>
      <x:c r="D141" s="2"/>
      <x:c r="E141" s="3" t="str">
        <x:f t="shared" si="16"/>
      </x:c>
      <x:c r="F141" s="3" t="str">
        <x:f t="shared" si="17"/>
      </x:c>
      <x:c r="G141" s="3" t="str">
        <x:f t="shared" si="18"/>
        <x:v>OMS2 확인</x:v>
      </x:c>
      <x:c r="H141" s="3" t="str">
        <x:f t="shared" si="19"/>
      </x:c>
      <x:c r="I141" s="3" t="str">
        <x:f t="shared" si="20"/>
      </x:c>
      <x:c r="J141" s="3" t="str">
        <x:f t="shared" si="21"/>
      </x:c>
      <x:c r="K141" s="4" t="str">
        <x:f>IF(A141="","",IFERROR(VLOOKUP(J141,MGMT_RULE!$A:$G,7,FALSE),IFERROR(VLOOKUP(H141,RULE_MAIN!$A:$F,6,FALSE),IFERROR(VLOOKUP(I141,RULE_MAIN!$A:$F,6,FALSE),"관리자 확인"))))</x:f>
      </x:c>
      <x:c r="L141" s="5" t="str">
        <x:f>IF(A141="","",IF(K141="관리자 확인","DNC 차단",IF(ISNUMBER(SEARCH("후보",K141)),"관리자 확인",IFERROR(IF(MATCH(K141,PG_LIST!$A:$A,0)&gt;0,"DNC 가능","Program 파일 없음"),"Program 파일 없음"))))</x:f>
      </x:c>
      <x:c r="M141" s="6" t="str">
        <x:f>IF(A141="","",IF(COUNTIF(MGMT_RULE!$A:$A,J141)&gt;0,"관리번호 전용 RULE",IF(COUNTIF(RULE_MAIN!$A:$A,H141)&gt;0,"정확 RULE",IF(COUNTIF(RULE_MAIN!$A:$A,I141)&gt;0,"ANY RULE","확정 RULE 필요"))))</x:f>
      </x:c>
      <x:c r="N141" s="6" t="str">
        <x:f t="shared" si="22"/>
      </x:c>
      <x:c r="O141" s="6" t="str">
        <x:f t="shared" si="23"/>
      </x:c>
    </x:row>
    <x:row r="142">
      <x:c r="A142" s="2"/>
      <x:c r="B142" s="2"/>
      <x:c r="C142" s="2"/>
      <x:c r="D142" s="2"/>
      <x:c r="E142" s="3" t="str">
        <x:f t="shared" si="16"/>
      </x:c>
      <x:c r="F142" s="3" t="str">
        <x:f t="shared" si="17"/>
      </x:c>
      <x:c r="G142" s="3" t="str">
        <x:f t="shared" si="18"/>
        <x:v>OMS2 확인</x:v>
      </x:c>
      <x:c r="H142" s="3" t="str">
        <x:f t="shared" si="19"/>
      </x:c>
      <x:c r="I142" s="3" t="str">
        <x:f t="shared" si="20"/>
      </x:c>
      <x:c r="J142" s="3" t="str">
        <x:f t="shared" si="21"/>
      </x:c>
      <x:c r="K142" s="4" t="str">
        <x:f>IF(A142="","",IFERROR(VLOOKUP(J142,MGMT_RULE!$A:$G,7,FALSE),IFERROR(VLOOKUP(H142,RULE_MAIN!$A:$F,6,FALSE),IFERROR(VLOOKUP(I142,RULE_MAIN!$A:$F,6,FALSE),"관리자 확인"))))</x:f>
      </x:c>
      <x:c r="L142" s="5" t="str">
        <x:f>IF(A142="","",IF(K142="관리자 확인","DNC 차단",IF(ISNUMBER(SEARCH("후보",K142)),"관리자 확인",IFERROR(IF(MATCH(K142,PG_LIST!$A:$A,0)&gt;0,"DNC 가능","Program 파일 없음"),"Program 파일 없음"))))</x:f>
      </x:c>
      <x:c r="M142" s="6" t="str">
        <x:f>IF(A142="","",IF(COUNTIF(MGMT_RULE!$A:$A,J142)&gt;0,"관리번호 전용 RULE",IF(COUNTIF(RULE_MAIN!$A:$A,H142)&gt;0,"정확 RULE",IF(COUNTIF(RULE_MAIN!$A:$A,I142)&gt;0,"ANY RULE","확정 RULE 필요"))))</x:f>
      </x:c>
      <x:c r="N142" s="6" t="str">
        <x:f t="shared" si="22"/>
      </x:c>
      <x:c r="O142" s="6" t="str">
        <x:f t="shared" si="23"/>
      </x:c>
    </x:row>
    <x:row r="143">
      <x:c r="A143" s="2"/>
      <x:c r="B143" s="2"/>
      <x:c r="C143" s="2"/>
      <x:c r="D143" s="2"/>
      <x:c r="E143" s="3" t="str">
        <x:f t="shared" si="16"/>
      </x:c>
      <x:c r="F143" s="3" t="str">
        <x:f t="shared" si="17"/>
      </x:c>
      <x:c r="G143" s="3" t="str">
        <x:f t="shared" si="18"/>
        <x:v>OMS2 확인</x:v>
      </x:c>
      <x:c r="H143" s="3" t="str">
        <x:f t="shared" si="19"/>
      </x:c>
      <x:c r="I143" s="3" t="str">
        <x:f t="shared" si="20"/>
      </x:c>
      <x:c r="J143" s="3" t="str">
        <x:f t="shared" si="21"/>
      </x:c>
      <x:c r="K143" s="4" t="str">
        <x:f>IF(A143="","",IFERROR(VLOOKUP(J143,MGMT_RULE!$A:$G,7,FALSE),IFERROR(VLOOKUP(H143,RULE_MAIN!$A:$F,6,FALSE),IFERROR(VLOOKUP(I143,RULE_MAIN!$A:$F,6,FALSE),"관리자 확인"))))</x:f>
      </x:c>
      <x:c r="L143" s="5" t="str">
        <x:f>IF(A143="","",IF(K143="관리자 확인","DNC 차단",IF(ISNUMBER(SEARCH("후보",K143)),"관리자 확인",IFERROR(IF(MATCH(K143,PG_LIST!$A:$A,0)&gt;0,"DNC 가능","Program 파일 없음"),"Program 파일 없음"))))</x:f>
      </x:c>
      <x:c r="M143" s="6" t="str">
        <x:f>IF(A143="","",IF(COUNTIF(MGMT_RULE!$A:$A,J143)&gt;0,"관리번호 전용 RULE",IF(COUNTIF(RULE_MAIN!$A:$A,H143)&gt;0,"정확 RULE",IF(COUNTIF(RULE_MAIN!$A:$A,I143)&gt;0,"ANY RULE","확정 RULE 필요"))))</x:f>
      </x:c>
      <x:c r="N143" s="6" t="str">
        <x:f t="shared" si="22"/>
      </x:c>
      <x:c r="O143" s="6" t="str">
        <x:f t="shared" si="23"/>
      </x:c>
    </x:row>
    <x:row r="144">
      <x:c r="A144" s="2"/>
      <x:c r="B144" s="2"/>
      <x:c r="C144" s="2"/>
      <x:c r="D144" s="2"/>
      <x:c r="E144" s="3" t="str">
        <x:f t="shared" si="16"/>
      </x:c>
      <x:c r="F144" s="3" t="str">
        <x:f t="shared" si="17"/>
      </x:c>
      <x:c r="G144" s="3" t="str">
        <x:f t="shared" si="18"/>
        <x:v>OMS2 확인</x:v>
      </x:c>
      <x:c r="H144" s="3" t="str">
        <x:f t="shared" si="19"/>
      </x:c>
      <x:c r="I144" s="3" t="str">
        <x:f t="shared" si="20"/>
      </x:c>
      <x:c r="J144" s="3" t="str">
        <x:f t="shared" si="21"/>
      </x:c>
      <x:c r="K144" s="4" t="str">
        <x:f>IF(A144="","",IFERROR(VLOOKUP(J144,MGMT_RULE!$A:$G,7,FALSE),IFERROR(VLOOKUP(H144,RULE_MAIN!$A:$F,6,FALSE),IFERROR(VLOOKUP(I144,RULE_MAIN!$A:$F,6,FALSE),"관리자 확인"))))</x:f>
      </x:c>
      <x:c r="L144" s="5" t="str">
        <x:f>IF(A144="","",IF(K144="관리자 확인","DNC 차단",IF(ISNUMBER(SEARCH("후보",K144)),"관리자 확인",IFERROR(IF(MATCH(K144,PG_LIST!$A:$A,0)&gt;0,"DNC 가능","Program 파일 없음"),"Program 파일 없음"))))</x:f>
      </x:c>
      <x:c r="M144" s="6" t="str">
        <x:f>IF(A144="","",IF(COUNTIF(MGMT_RULE!$A:$A,J144)&gt;0,"관리번호 전용 RULE",IF(COUNTIF(RULE_MAIN!$A:$A,H144)&gt;0,"정확 RULE",IF(COUNTIF(RULE_MAIN!$A:$A,I144)&gt;0,"ANY RULE","확정 RULE 필요"))))</x:f>
      </x:c>
      <x:c r="N144" s="6" t="str">
        <x:f t="shared" si="22"/>
      </x:c>
      <x:c r="O144" s="6" t="str">
        <x:f t="shared" si="23"/>
      </x:c>
    </x:row>
    <x:row r="145">
      <x:c r="A145" s="2"/>
      <x:c r="B145" s="2"/>
      <x:c r="C145" s="2"/>
      <x:c r="D145" s="2"/>
      <x:c r="E145" s="3" t="str">
        <x:f t="shared" si="16"/>
      </x:c>
      <x:c r="F145" s="3" t="str">
        <x:f t="shared" si="17"/>
      </x:c>
      <x:c r="G145" s="3" t="str">
        <x:f t="shared" si="18"/>
        <x:v>OMS2 확인</x:v>
      </x:c>
      <x:c r="H145" s="3" t="str">
        <x:f t="shared" si="19"/>
      </x:c>
      <x:c r="I145" s="3" t="str">
        <x:f t="shared" si="20"/>
      </x:c>
      <x:c r="J145" s="3" t="str">
        <x:f t="shared" si="21"/>
      </x:c>
      <x:c r="K145" s="4" t="str">
        <x:f>IF(A145="","",IFERROR(VLOOKUP(J145,MGMT_RULE!$A:$G,7,FALSE),IFERROR(VLOOKUP(H145,RULE_MAIN!$A:$F,6,FALSE),IFERROR(VLOOKUP(I145,RULE_MAIN!$A:$F,6,FALSE),"관리자 확인"))))</x:f>
      </x:c>
      <x:c r="L145" s="5" t="str">
        <x:f>IF(A145="","",IF(K145="관리자 확인","DNC 차단",IF(ISNUMBER(SEARCH("후보",K145)),"관리자 확인",IFERROR(IF(MATCH(K145,PG_LIST!$A:$A,0)&gt;0,"DNC 가능","Program 파일 없음"),"Program 파일 없음"))))</x:f>
      </x:c>
      <x:c r="M145" s="6" t="str">
        <x:f>IF(A145="","",IF(COUNTIF(MGMT_RULE!$A:$A,J145)&gt;0,"관리번호 전용 RULE",IF(COUNTIF(RULE_MAIN!$A:$A,H145)&gt;0,"정확 RULE",IF(COUNTIF(RULE_MAIN!$A:$A,I145)&gt;0,"ANY RULE","확정 RULE 필요"))))</x:f>
      </x:c>
      <x:c r="N145" s="6" t="str">
        <x:f t="shared" si="22"/>
      </x:c>
      <x:c r="O145" s="6" t="str">
        <x:f t="shared" si="23"/>
      </x:c>
    </x:row>
    <x:row r="146">
      <x:c r="A146" s="2"/>
      <x:c r="B146" s="2"/>
      <x:c r="C146" s="2"/>
      <x:c r="D146" s="2"/>
      <x:c r="E146" s="3" t="str">
        <x:f t="shared" si="16"/>
      </x:c>
      <x:c r="F146" s="3" t="str">
        <x:f t="shared" si="17"/>
      </x:c>
      <x:c r="G146" s="3" t="str">
        <x:f t="shared" si="18"/>
        <x:v>OMS2 확인</x:v>
      </x:c>
      <x:c r="H146" s="3" t="str">
        <x:f t="shared" si="19"/>
      </x:c>
      <x:c r="I146" s="3" t="str">
        <x:f t="shared" si="20"/>
      </x:c>
      <x:c r="J146" s="3" t="str">
        <x:f t="shared" si="21"/>
      </x:c>
      <x:c r="K146" s="4" t="str">
        <x:f>IF(A146="","",IFERROR(VLOOKUP(J146,MGMT_RULE!$A:$G,7,FALSE),IFERROR(VLOOKUP(H146,RULE_MAIN!$A:$F,6,FALSE),IFERROR(VLOOKUP(I146,RULE_MAIN!$A:$F,6,FALSE),"관리자 확인"))))</x:f>
      </x:c>
      <x:c r="L146" s="5" t="str">
        <x:f>IF(A146="","",IF(K146="관리자 확인","DNC 차단",IF(ISNUMBER(SEARCH("후보",K146)),"관리자 확인",IFERROR(IF(MATCH(K146,PG_LIST!$A:$A,0)&gt;0,"DNC 가능","Program 파일 없음"),"Program 파일 없음"))))</x:f>
      </x:c>
      <x:c r="M146" s="6" t="str">
        <x:f>IF(A146="","",IF(COUNTIF(MGMT_RULE!$A:$A,J146)&gt;0,"관리번호 전용 RULE",IF(COUNTIF(RULE_MAIN!$A:$A,H146)&gt;0,"정확 RULE",IF(COUNTIF(RULE_MAIN!$A:$A,I146)&gt;0,"ANY RULE","확정 RULE 필요"))))</x:f>
      </x:c>
      <x:c r="N146" s="6" t="str">
        <x:f t="shared" si="22"/>
      </x:c>
      <x:c r="O146" s="6" t="str">
        <x:f t="shared" si="23"/>
      </x:c>
    </x:row>
    <x:row r="147">
      <x:c r="A147" s="2"/>
      <x:c r="B147" s="2"/>
      <x:c r="C147" s="2"/>
      <x:c r="D147" s="2"/>
      <x:c r="E147" s="3" t="str">
        <x:f t="shared" si="16"/>
      </x:c>
      <x:c r="F147" s="3" t="str">
        <x:f t="shared" si="17"/>
      </x:c>
      <x:c r="G147" s="3" t="str">
        <x:f t="shared" si="18"/>
        <x:v>OMS2 확인</x:v>
      </x:c>
      <x:c r="H147" s="3" t="str">
        <x:f t="shared" si="19"/>
      </x:c>
      <x:c r="I147" s="3" t="str">
        <x:f t="shared" si="20"/>
      </x:c>
      <x:c r="J147" s="3" t="str">
        <x:f t="shared" si="21"/>
      </x:c>
      <x:c r="K147" s="4" t="str">
        <x:f>IF(A147="","",IFERROR(VLOOKUP(J147,MGMT_RULE!$A:$G,7,FALSE),IFERROR(VLOOKUP(H147,RULE_MAIN!$A:$F,6,FALSE),IFERROR(VLOOKUP(I147,RULE_MAIN!$A:$F,6,FALSE),"관리자 확인"))))</x:f>
      </x:c>
      <x:c r="L147" s="5" t="str">
        <x:f>IF(A147="","",IF(K147="관리자 확인","DNC 차단",IF(ISNUMBER(SEARCH("후보",K147)),"관리자 확인",IFERROR(IF(MATCH(K147,PG_LIST!$A:$A,0)&gt;0,"DNC 가능","Program 파일 없음"),"Program 파일 없음"))))</x:f>
      </x:c>
      <x:c r="M147" s="6" t="str">
        <x:f>IF(A147="","",IF(COUNTIF(MGMT_RULE!$A:$A,J147)&gt;0,"관리번호 전용 RULE",IF(COUNTIF(RULE_MAIN!$A:$A,H147)&gt;0,"정확 RULE",IF(COUNTIF(RULE_MAIN!$A:$A,I147)&gt;0,"ANY RULE","확정 RULE 필요"))))</x:f>
      </x:c>
      <x:c r="N147" s="6" t="str">
        <x:f t="shared" si="22"/>
      </x:c>
      <x:c r="O147" s="6" t="str">
        <x:f t="shared" si="23"/>
      </x:c>
    </x:row>
    <x:row r="148">
      <x:c r="A148" s="2"/>
      <x:c r="B148" s="2"/>
      <x:c r="C148" s="2"/>
      <x:c r="D148" s="2"/>
      <x:c r="E148" s="3" t="str">
        <x:f t="shared" si="16"/>
      </x:c>
      <x:c r="F148" s="3" t="str">
        <x:f t="shared" si="17"/>
      </x:c>
      <x:c r="G148" s="3" t="str">
        <x:f t="shared" si="18"/>
        <x:v>OMS2 확인</x:v>
      </x:c>
      <x:c r="H148" s="3" t="str">
        <x:f t="shared" si="19"/>
      </x:c>
      <x:c r="I148" s="3" t="str">
        <x:f t="shared" si="20"/>
      </x:c>
      <x:c r="J148" s="3" t="str">
        <x:f t="shared" si="21"/>
      </x:c>
      <x:c r="K148" s="4" t="str">
        <x:f>IF(A148="","",IFERROR(VLOOKUP(J148,MGMT_RULE!$A:$G,7,FALSE),IFERROR(VLOOKUP(H148,RULE_MAIN!$A:$F,6,FALSE),IFERROR(VLOOKUP(I148,RULE_MAIN!$A:$F,6,FALSE),"관리자 확인"))))</x:f>
      </x:c>
      <x:c r="L148" s="5" t="str">
        <x:f>IF(A148="","",IF(K148="관리자 확인","DNC 차단",IF(ISNUMBER(SEARCH("후보",K148)),"관리자 확인",IFERROR(IF(MATCH(K148,PG_LIST!$A:$A,0)&gt;0,"DNC 가능","Program 파일 없음"),"Program 파일 없음"))))</x:f>
      </x:c>
      <x:c r="M148" s="6" t="str">
        <x:f>IF(A148="","",IF(COUNTIF(MGMT_RULE!$A:$A,J148)&gt;0,"관리번호 전용 RULE",IF(COUNTIF(RULE_MAIN!$A:$A,H148)&gt;0,"정확 RULE",IF(COUNTIF(RULE_MAIN!$A:$A,I148)&gt;0,"ANY RULE","확정 RULE 필요"))))</x:f>
      </x:c>
      <x:c r="N148" s="6" t="str">
        <x:f t="shared" si="22"/>
      </x:c>
      <x:c r="O148" s="6" t="str">
        <x:f t="shared" si="23"/>
      </x:c>
    </x:row>
    <x:row r="149">
      <x:c r="A149" s="2"/>
      <x:c r="B149" s="2"/>
      <x:c r="C149" s="2"/>
      <x:c r="D149" s="2"/>
      <x:c r="E149" s="3" t="str">
        <x:f t="shared" si="16"/>
      </x:c>
      <x:c r="F149" s="3" t="str">
        <x:f t="shared" si="17"/>
      </x:c>
      <x:c r="G149" s="3" t="str">
        <x:f t="shared" si="18"/>
        <x:v>OMS2 확인</x:v>
      </x:c>
      <x:c r="H149" s="3" t="str">
        <x:f t="shared" si="19"/>
      </x:c>
      <x:c r="I149" s="3" t="str">
        <x:f t="shared" si="20"/>
      </x:c>
      <x:c r="J149" s="3" t="str">
        <x:f t="shared" si="21"/>
      </x:c>
      <x:c r="K149" s="4" t="str">
        <x:f>IF(A149="","",IFERROR(VLOOKUP(J149,MGMT_RULE!$A:$G,7,FALSE),IFERROR(VLOOKUP(H149,RULE_MAIN!$A:$F,6,FALSE),IFERROR(VLOOKUP(I149,RULE_MAIN!$A:$F,6,FALSE),"관리자 확인"))))</x:f>
      </x:c>
      <x:c r="L149" s="5" t="str">
        <x:f>IF(A149="","",IF(K149="관리자 확인","DNC 차단",IF(ISNUMBER(SEARCH("후보",K149)),"관리자 확인",IFERROR(IF(MATCH(K149,PG_LIST!$A:$A,0)&gt;0,"DNC 가능","Program 파일 없음"),"Program 파일 없음"))))</x:f>
      </x:c>
      <x:c r="M149" s="6" t="str">
        <x:f>IF(A149="","",IF(COUNTIF(MGMT_RULE!$A:$A,J149)&gt;0,"관리번호 전용 RULE",IF(COUNTIF(RULE_MAIN!$A:$A,H149)&gt;0,"정확 RULE",IF(COUNTIF(RULE_MAIN!$A:$A,I149)&gt;0,"ANY RULE","확정 RULE 필요"))))</x:f>
      </x:c>
      <x:c r="N149" s="6" t="str">
        <x:f t="shared" si="22"/>
      </x:c>
      <x:c r="O149" s="6" t="str">
        <x:f t="shared" si="23"/>
      </x:c>
    </x:row>
    <x:row r="150">
      <x:c r="A150" s="2"/>
      <x:c r="B150" s="2"/>
      <x:c r="C150" s="2"/>
      <x:c r="D150" s="2"/>
      <x:c r="E150" s="3" t="str">
        <x:f t="shared" si="16"/>
      </x:c>
      <x:c r="F150" s="3" t="str">
        <x:f t="shared" si="17"/>
      </x:c>
      <x:c r="G150" s="3" t="str">
        <x:f t="shared" si="18"/>
        <x:v>OMS2 확인</x:v>
      </x:c>
      <x:c r="H150" s="3" t="str">
        <x:f t="shared" si="19"/>
      </x:c>
      <x:c r="I150" s="3" t="str">
        <x:f t="shared" si="20"/>
      </x:c>
      <x:c r="J150" s="3" t="str">
        <x:f t="shared" si="21"/>
      </x:c>
      <x:c r="K150" s="4" t="str">
        <x:f>IF(A150="","",IFERROR(VLOOKUP(J150,MGMT_RULE!$A:$G,7,FALSE),IFERROR(VLOOKUP(H150,RULE_MAIN!$A:$F,6,FALSE),IFERROR(VLOOKUP(I150,RULE_MAIN!$A:$F,6,FALSE),"관리자 확인"))))</x:f>
      </x:c>
      <x:c r="L150" s="5" t="str">
        <x:f>IF(A150="","",IF(K150="관리자 확인","DNC 차단",IF(ISNUMBER(SEARCH("후보",K150)),"관리자 확인",IFERROR(IF(MATCH(K150,PG_LIST!$A:$A,0)&gt;0,"DNC 가능","Program 파일 없음"),"Program 파일 없음"))))</x:f>
      </x:c>
      <x:c r="M150" s="6" t="str">
        <x:f>IF(A150="","",IF(COUNTIF(MGMT_RULE!$A:$A,J150)&gt;0,"관리번호 전용 RULE",IF(COUNTIF(RULE_MAIN!$A:$A,H150)&gt;0,"정확 RULE",IF(COUNTIF(RULE_MAIN!$A:$A,I150)&gt;0,"ANY RULE","확정 RULE 필요"))))</x:f>
      </x:c>
      <x:c r="N150" s="6" t="str">
        <x:f t="shared" si="22"/>
      </x:c>
      <x:c r="O150" s="6" t="str">
        <x:f t="shared" si="23"/>
      </x:c>
    </x:row>
    <x:row r="151">
      <x:c r="A151" s="2"/>
      <x:c r="B151" s="2"/>
      <x:c r="C151" s="2"/>
      <x:c r="D151" s="2"/>
      <x:c r="E151" s="3" t="str">
        <x:f t="shared" si="16"/>
      </x:c>
      <x:c r="F151" s="3" t="str">
        <x:f t="shared" si="17"/>
      </x:c>
      <x:c r="G151" s="3" t="str">
        <x:f t="shared" si="18"/>
        <x:v>OMS2 확인</x:v>
      </x:c>
      <x:c r="H151" s="3" t="str">
        <x:f t="shared" si="19"/>
      </x:c>
      <x:c r="I151" s="3" t="str">
        <x:f t="shared" si="20"/>
      </x:c>
      <x:c r="J151" s="3" t="str">
        <x:f t="shared" si="21"/>
      </x:c>
      <x:c r="K151" s="4" t="str">
        <x:f>IF(A151="","",IFERROR(VLOOKUP(J151,MGMT_RULE!$A:$G,7,FALSE),IFERROR(VLOOKUP(H151,RULE_MAIN!$A:$F,6,FALSE),IFERROR(VLOOKUP(I151,RULE_MAIN!$A:$F,6,FALSE),"관리자 확인"))))</x:f>
      </x:c>
      <x:c r="L151" s="5" t="str">
        <x:f>IF(A151="","",IF(K151="관리자 확인","DNC 차단",IF(ISNUMBER(SEARCH("후보",K151)),"관리자 확인",IFERROR(IF(MATCH(K151,PG_LIST!$A:$A,0)&gt;0,"DNC 가능","Program 파일 없음"),"Program 파일 없음"))))</x:f>
      </x:c>
      <x:c r="M151" s="6" t="str">
        <x:f>IF(A151="","",IF(COUNTIF(MGMT_RULE!$A:$A,J151)&gt;0,"관리번호 전용 RULE",IF(COUNTIF(RULE_MAIN!$A:$A,H151)&gt;0,"정확 RULE",IF(COUNTIF(RULE_MAIN!$A:$A,I151)&gt;0,"ANY RULE","확정 RULE 필요"))))</x:f>
      </x:c>
      <x:c r="N151" s="6" t="str">
        <x:f t="shared" si="22"/>
      </x:c>
      <x:c r="O151" s="6" t="str">
        <x:f t="shared" si="23"/>
      </x:c>
    </x:row>
    <x:row r="152">
      <x:c r="A152" s="2"/>
      <x:c r="B152" s="2"/>
      <x:c r="C152" s="2"/>
      <x:c r="D152" s="2"/>
      <x:c r="E152" s="3" t="str">
        <x:f t="shared" si="16"/>
      </x:c>
      <x:c r="F152" s="3" t="str">
        <x:f t="shared" si="17"/>
      </x:c>
      <x:c r="G152" s="3" t="str">
        <x:f t="shared" si="18"/>
        <x:v>OMS2 확인</x:v>
      </x:c>
      <x:c r="H152" s="3" t="str">
        <x:f t="shared" si="19"/>
      </x:c>
      <x:c r="I152" s="3" t="str">
        <x:f t="shared" si="20"/>
      </x:c>
      <x:c r="J152" s="3" t="str">
        <x:f t="shared" si="21"/>
      </x:c>
      <x:c r="K152" s="4" t="str">
        <x:f>IF(A152="","",IFERROR(VLOOKUP(J152,MGMT_RULE!$A:$G,7,FALSE),IFERROR(VLOOKUP(H152,RULE_MAIN!$A:$F,6,FALSE),IFERROR(VLOOKUP(I152,RULE_MAIN!$A:$F,6,FALSE),"관리자 확인"))))</x:f>
      </x:c>
      <x:c r="L152" s="5" t="str">
        <x:f>IF(A152="","",IF(K152="관리자 확인","DNC 차단",IF(ISNUMBER(SEARCH("후보",K152)),"관리자 확인",IFERROR(IF(MATCH(K152,PG_LIST!$A:$A,0)&gt;0,"DNC 가능","Program 파일 없음"),"Program 파일 없음"))))</x:f>
      </x:c>
      <x:c r="M152" s="6" t="str">
        <x:f>IF(A152="","",IF(COUNTIF(MGMT_RULE!$A:$A,J152)&gt;0,"관리번호 전용 RULE",IF(COUNTIF(RULE_MAIN!$A:$A,H152)&gt;0,"정확 RULE",IF(COUNTIF(RULE_MAIN!$A:$A,I152)&gt;0,"ANY RULE","확정 RULE 필요"))))</x:f>
      </x:c>
      <x:c r="N152" s="6" t="str">
        <x:f t="shared" si="22"/>
      </x:c>
      <x:c r="O152" s="6" t="str">
        <x:f t="shared" si="23"/>
      </x:c>
    </x:row>
    <x:row r="153">
      <x:c r="A153" s="2"/>
      <x:c r="B153" s="2"/>
      <x:c r="C153" s="2"/>
      <x:c r="D153" s="2"/>
      <x:c r="E153" s="3" t="str">
        <x:f t="shared" si="16"/>
      </x:c>
      <x:c r="F153" s="3" t="str">
        <x:f t="shared" si="17"/>
      </x:c>
      <x:c r="G153" s="3" t="str">
        <x:f t="shared" si="18"/>
        <x:v>OMS2 확인</x:v>
      </x:c>
      <x:c r="H153" s="3" t="str">
        <x:f t="shared" si="19"/>
      </x:c>
      <x:c r="I153" s="3" t="str">
        <x:f t="shared" si="20"/>
      </x:c>
      <x:c r="J153" s="3" t="str">
        <x:f t="shared" si="21"/>
      </x:c>
      <x:c r="K153" s="4" t="str">
        <x:f>IF(A153="","",IFERROR(VLOOKUP(J153,MGMT_RULE!$A:$G,7,FALSE),IFERROR(VLOOKUP(H153,RULE_MAIN!$A:$F,6,FALSE),IFERROR(VLOOKUP(I153,RULE_MAIN!$A:$F,6,FALSE),"관리자 확인"))))</x:f>
      </x:c>
      <x:c r="L153" s="5" t="str">
        <x:f>IF(A153="","",IF(K153="관리자 확인","DNC 차단",IF(ISNUMBER(SEARCH("후보",K153)),"관리자 확인",IFERROR(IF(MATCH(K153,PG_LIST!$A:$A,0)&gt;0,"DNC 가능","Program 파일 없음"),"Program 파일 없음"))))</x:f>
      </x:c>
      <x:c r="M153" s="6" t="str">
        <x:f>IF(A153="","",IF(COUNTIF(MGMT_RULE!$A:$A,J153)&gt;0,"관리번호 전용 RULE",IF(COUNTIF(RULE_MAIN!$A:$A,H153)&gt;0,"정확 RULE",IF(COUNTIF(RULE_MAIN!$A:$A,I153)&gt;0,"ANY RULE","확정 RULE 필요"))))</x:f>
      </x:c>
      <x:c r="N153" s="6" t="str">
        <x:f t="shared" si="22"/>
      </x:c>
      <x:c r="O153" s="6" t="str">
        <x:f t="shared" si="23"/>
      </x:c>
    </x:row>
    <x:row r="154">
      <x:c r="A154" s="2"/>
      <x:c r="B154" s="2"/>
      <x:c r="C154" s="2"/>
      <x:c r="D154" s="2"/>
      <x:c r="E154" s="3" t="str">
        <x:f t="shared" si="16"/>
      </x:c>
      <x:c r="F154" s="3" t="str">
        <x:f t="shared" si="17"/>
      </x:c>
      <x:c r="G154" s="3" t="str">
        <x:f t="shared" si="18"/>
        <x:v>OMS2 확인</x:v>
      </x:c>
      <x:c r="H154" s="3" t="str">
        <x:f t="shared" si="19"/>
      </x:c>
      <x:c r="I154" s="3" t="str">
        <x:f t="shared" si="20"/>
      </x:c>
      <x:c r="J154" s="3" t="str">
        <x:f t="shared" si="21"/>
      </x:c>
      <x:c r="K154" s="4" t="str">
        <x:f>IF(A154="","",IFERROR(VLOOKUP(J154,MGMT_RULE!$A:$G,7,FALSE),IFERROR(VLOOKUP(H154,RULE_MAIN!$A:$F,6,FALSE),IFERROR(VLOOKUP(I154,RULE_MAIN!$A:$F,6,FALSE),"관리자 확인"))))</x:f>
      </x:c>
      <x:c r="L154" s="5" t="str">
        <x:f>IF(A154="","",IF(K154="관리자 확인","DNC 차단",IF(ISNUMBER(SEARCH("후보",K154)),"관리자 확인",IFERROR(IF(MATCH(K154,PG_LIST!$A:$A,0)&gt;0,"DNC 가능","Program 파일 없음"),"Program 파일 없음"))))</x:f>
      </x:c>
      <x:c r="M154" s="6" t="str">
        <x:f>IF(A154="","",IF(COUNTIF(MGMT_RULE!$A:$A,J154)&gt;0,"관리번호 전용 RULE",IF(COUNTIF(RULE_MAIN!$A:$A,H154)&gt;0,"정확 RULE",IF(COUNTIF(RULE_MAIN!$A:$A,I154)&gt;0,"ANY RULE","확정 RULE 필요"))))</x:f>
      </x:c>
      <x:c r="N154" s="6" t="str">
        <x:f t="shared" si="22"/>
      </x:c>
      <x:c r="O154" s="6" t="str">
        <x:f t="shared" si="23"/>
      </x:c>
    </x:row>
    <x:row r="155">
      <x:c r="A155" s="2"/>
      <x:c r="B155" s="2"/>
      <x:c r="C155" s="2"/>
      <x:c r="D155" s="2"/>
      <x:c r="E155" s="3" t="str">
        <x:f t="shared" si="16"/>
      </x:c>
      <x:c r="F155" s="3" t="str">
        <x:f t="shared" si="17"/>
      </x:c>
      <x:c r="G155" s="3" t="str">
        <x:f t="shared" si="18"/>
        <x:v>OMS2 확인</x:v>
      </x:c>
      <x:c r="H155" s="3" t="str">
        <x:f t="shared" si="19"/>
      </x:c>
      <x:c r="I155" s="3" t="str">
        <x:f t="shared" si="20"/>
      </x:c>
      <x:c r="J155" s="3" t="str">
        <x:f t="shared" si="21"/>
      </x:c>
      <x:c r="K155" s="4" t="str">
        <x:f>IF(A155="","",IFERROR(VLOOKUP(J155,MGMT_RULE!$A:$G,7,FALSE),IFERROR(VLOOKUP(H155,RULE_MAIN!$A:$F,6,FALSE),IFERROR(VLOOKUP(I155,RULE_MAIN!$A:$F,6,FALSE),"관리자 확인"))))</x:f>
      </x:c>
      <x:c r="L155" s="5" t="str">
        <x:f>IF(A155="","",IF(K155="관리자 확인","DNC 차단",IF(ISNUMBER(SEARCH("후보",K155)),"관리자 확인",IFERROR(IF(MATCH(K155,PG_LIST!$A:$A,0)&gt;0,"DNC 가능","Program 파일 없음"),"Program 파일 없음"))))</x:f>
      </x:c>
      <x:c r="M155" s="6" t="str">
        <x:f>IF(A155="","",IF(COUNTIF(MGMT_RULE!$A:$A,J155)&gt;0,"관리번호 전용 RULE",IF(COUNTIF(RULE_MAIN!$A:$A,H155)&gt;0,"정확 RULE",IF(COUNTIF(RULE_MAIN!$A:$A,I155)&gt;0,"ANY RULE","확정 RULE 필요"))))</x:f>
      </x:c>
      <x:c r="N155" s="6" t="str">
        <x:f t="shared" si="22"/>
      </x:c>
      <x:c r="O155" s="6" t="str">
        <x:f t="shared" si="23"/>
      </x:c>
    </x:row>
    <x:row r="156">
      <x:c r="A156" s="2"/>
      <x:c r="B156" s="2"/>
      <x:c r="C156" s="2"/>
      <x:c r="D156" s="2"/>
      <x:c r="E156" s="3" t="str">
        <x:f t="shared" si="16"/>
      </x:c>
      <x:c r="F156" s="3" t="str">
        <x:f t="shared" si="17"/>
      </x:c>
      <x:c r="G156" s="3" t="str">
        <x:f t="shared" si="18"/>
        <x:v>OMS2 확인</x:v>
      </x:c>
      <x:c r="H156" s="3" t="str">
        <x:f t="shared" si="19"/>
      </x:c>
      <x:c r="I156" s="3" t="str">
        <x:f t="shared" si="20"/>
      </x:c>
      <x:c r="J156" s="3" t="str">
        <x:f t="shared" si="21"/>
      </x:c>
      <x:c r="K156" s="4" t="str">
        <x:f>IF(A156="","",IFERROR(VLOOKUP(J156,MGMT_RULE!$A:$G,7,FALSE),IFERROR(VLOOKUP(H156,RULE_MAIN!$A:$F,6,FALSE),IFERROR(VLOOKUP(I156,RULE_MAIN!$A:$F,6,FALSE),"관리자 확인"))))</x:f>
      </x:c>
      <x:c r="L156" s="5" t="str">
        <x:f>IF(A156="","",IF(K156="관리자 확인","DNC 차단",IF(ISNUMBER(SEARCH("후보",K156)),"관리자 확인",IFERROR(IF(MATCH(K156,PG_LIST!$A:$A,0)&gt;0,"DNC 가능","Program 파일 없음"),"Program 파일 없음"))))</x:f>
      </x:c>
      <x:c r="M156" s="6" t="str">
        <x:f>IF(A156="","",IF(COUNTIF(MGMT_RULE!$A:$A,J156)&gt;0,"관리번호 전용 RULE",IF(COUNTIF(RULE_MAIN!$A:$A,H156)&gt;0,"정확 RULE",IF(COUNTIF(RULE_MAIN!$A:$A,I156)&gt;0,"ANY RULE","확정 RULE 필요"))))</x:f>
      </x:c>
      <x:c r="N156" s="6" t="str">
        <x:f t="shared" si="22"/>
      </x:c>
      <x:c r="O156" s="6" t="str">
        <x:f t="shared" si="23"/>
      </x:c>
    </x:row>
    <x:row r="157">
      <x:c r="A157" s="2"/>
      <x:c r="B157" s="2"/>
      <x:c r="C157" s="2"/>
      <x:c r="D157" s="2"/>
      <x:c r="E157" s="3" t="str">
        <x:f t="shared" si="16"/>
      </x:c>
      <x:c r="F157" s="3" t="str">
        <x:f t="shared" si="17"/>
      </x:c>
      <x:c r="G157" s="3" t="str">
        <x:f t="shared" si="18"/>
        <x:v>OMS2 확인</x:v>
      </x:c>
      <x:c r="H157" s="3" t="str">
        <x:f t="shared" si="19"/>
      </x:c>
      <x:c r="I157" s="3" t="str">
        <x:f t="shared" si="20"/>
      </x:c>
      <x:c r="J157" s="3" t="str">
        <x:f t="shared" si="21"/>
      </x:c>
      <x:c r="K157" s="4" t="str">
        <x:f>IF(A157="","",IFERROR(VLOOKUP(J157,MGMT_RULE!$A:$G,7,FALSE),IFERROR(VLOOKUP(H157,RULE_MAIN!$A:$F,6,FALSE),IFERROR(VLOOKUP(I157,RULE_MAIN!$A:$F,6,FALSE),"관리자 확인"))))</x:f>
      </x:c>
      <x:c r="L157" s="5" t="str">
        <x:f>IF(A157="","",IF(K157="관리자 확인","DNC 차단",IF(ISNUMBER(SEARCH("후보",K157)),"관리자 확인",IFERROR(IF(MATCH(K157,PG_LIST!$A:$A,0)&gt;0,"DNC 가능","Program 파일 없음"),"Program 파일 없음"))))</x:f>
      </x:c>
      <x:c r="M157" s="6" t="str">
        <x:f>IF(A157="","",IF(COUNTIF(MGMT_RULE!$A:$A,J157)&gt;0,"관리번호 전용 RULE",IF(COUNTIF(RULE_MAIN!$A:$A,H157)&gt;0,"정확 RULE",IF(COUNTIF(RULE_MAIN!$A:$A,I157)&gt;0,"ANY RULE","확정 RULE 필요"))))</x:f>
      </x:c>
      <x:c r="N157" s="6" t="str">
        <x:f t="shared" si="22"/>
      </x:c>
      <x:c r="O157" s="6" t="str">
        <x:f t="shared" si="23"/>
      </x:c>
    </x:row>
    <x:row r="158">
      <x:c r="A158" s="2"/>
      <x:c r="B158" s="2"/>
      <x:c r="C158" s="2"/>
      <x:c r="D158" s="2"/>
      <x:c r="E158" s="3" t="str">
        <x:f t="shared" si="16"/>
      </x:c>
      <x:c r="F158" s="3" t="str">
        <x:f t="shared" si="17"/>
      </x:c>
      <x:c r="G158" s="3" t="str">
        <x:f t="shared" si="18"/>
        <x:v>OMS2 확인</x:v>
      </x:c>
      <x:c r="H158" s="3" t="str">
        <x:f t="shared" si="19"/>
      </x:c>
      <x:c r="I158" s="3" t="str">
        <x:f t="shared" si="20"/>
      </x:c>
      <x:c r="J158" s="3" t="str">
        <x:f t="shared" si="21"/>
      </x:c>
      <x:c r="K158" s="4" t="str">
        <x:f>IF(A158="","",IFERROR(VLOOKUP(J158,MGMT_RULE!$A:$G,7,FALSE),IFERROR(VLOOKUP(H158,RULE_MAIN!$A:$F,6,FALSE),IFERROR(VLOOKUP(I158,RULE_MAIN!$A:$F,6,FALSE),"관리자 확인"))))</x:f>
      </x:c>
      <x:c r="L158" s="5" t="str">
        <x:f>IF(A158="","",IF(K158="관리자 확인","DNC 차단",IF(ISNUMBER(SEARCH("후보",K158)),"관리자 확인",IFERROR(IF(MATCH(K158,PG_LIST!$A:$A,0)&gt;0,"DNC 가능","Program 파일 없음"),"Program 파일 없음"))))</x:f>
      </x:c>
      <x:c r="M158" s="6" t="str">
        <x:f>IF(A158="","",IF(COUNTIF(MGMT_RULE!$A:$A,J158)&gt;0,"관리번호 전용 RULE",IF(COUNTIF(RULE_MAIN!$A:$A,H158)&gt;0,"정확 RULE",IF(COUNTIF(RULE_MAIN!$A:$A,I158)&gt;0,"ANY RULE","확정 RULE 필요"))))</x:f>
      </x:c>
      <x:c r="N158" s="6" t="str">
        <x:f t="shared" si="22"/>
      </x:c>
      <x:c r="O158" s="6" t="str">
        <x:f t="shared" si="23"/>
      </x:c>
    </x:row>
    <x:row r="159">
      <x:c r="A159" s="2"/>
      <x:c r="B159" s="2"/>
      <x:c r="C159" s="2"/>
      <x:c r="D159" s="2"/>
      <x:c r="E159" s="3" t="str">
        <x:f t="shared" si="16"/>
      </x:c>
      <x:c r="F159" s="3" t="str">
        <x:f t="shared" si="17"/>
      </x:c>
      <x:c r="G159" s="3" t="str">
        <x:f t="shared" si="18"/>
        <x:v>OMS2 확인</x:v>
      </x:c>
      <x:c r="H159" s="3" t="str">
        <x:f t="shared" si="19"/>
      </x:c>
      <x:c r="I159" s="3" t="str">
        <x:f t="shared" si="20"/>
      </x:c>
      <x:c r="J159" s="3" t="str">
        <x:f t="shared" si="21"/>
      </x:c>
      <x:c r="K159" s="4" t="str">
        <x:f>IF(A159="","",IFERROR(VLOOKUP(J159,MGMT_RULE!$A:$G,7,FALSE),IFERROR(VLOOKUP(H159,RULE_MAIN!$A:$F,6,FALSE),IFERROR(VLOOKUP(I159,RULE_MAIN!$A:$F,6,FALSE),"관리자 확인"))))</x:f>
      </x:c>
      <x:c r="L159" s="5" t="str">
        <x:f>IF(A159="","",IF(K159="관리자 확인","DNC 차단",IF(ISNUMBER(SEARCH("후보",K159)),"관리자 확인",IFERROR(IF(MATCH(K159,PG_LIST!$A:$A,0)&gt;0,"DNC 가능","Program 파일 없음"),"Program 파일 없음"))))</x:f>
      </x:c>
      <x:c r="M159" s="6" t="str">
        <x:f>IF(A159="","",IF(COUNTIF(MGMT_RULE!$A:$A,J159)&gt;0,"관리번호 전용 RULE",IF(COUNTIF(RULE_MAIN!$A:$A,H159)&gt;0,"정확 RULE",IF(COUNTIF(RULE_MAIN!$A:$A,I159)&gt;0,"ANY RULE","확정 RULE 필요"))))</x:f>
      </x:c>
      <x:c r="N159" s="6" t="str">
        <x:f t="shared" si="22"/>
      </x:c>
      <x:c r="O159" s="6" t="str">
        <x:f t="shared" si="23"/>
      </x:c>
    </x:row>
    <x:row r="160">
      <x:c r="A160" s="2"/>
      <x:c r="B160" s="2"/>
      <x:c r="C160" s="2"/>
      <x:c r="D160" s="2"/>
      <x:c r="E160" s="3" t="str">
        <x:f t="shared" si="16"/>
      </x:c>
      <x:c r="F160" s="3" t="str">
        <x:f t="shared" si="17"/>
      </x:c>
      <x:c r="G160" s="3" t="str">
        <x:f t="shared" si="18"/>
        <x:v>OMS2 확인</x:v>
      </x:c>
      <x:c r="H160" s="3" t="str">
        <x:f t="shared" si="19"/>
      </x:c>
      <x:c r="I160" s="3" t="str">
        <x:f t="shared" si="20"/>
      </x:c>
      <x:c r="J160" s="3" t="str">
        <x:f t="shared" si="21"/>
      </x:c>
      <x:c r="K160" s="4" t="str">
        <x:f>IF(A160="","",IFERROR(VLOOKUP(J160,MGMT_RULE!$A:$G,7,FALSE),IFERROR(VLOOKUP(H160,RULE_MAIN!$A:$F,6,FALSE),IFERROR(VLOOKUP(I160,RULE_MAIN!$A:$F,6,FALSE),"관리자 확인"))))</x:f>
      </x:c>
      <x:c r="L160" s="5" t="str">
        <x:f>IF(A160="","",IF(K160="관리자 확인","DNC 차단",IF(ISNUMBER(SEARCH("후보",K160)),"관리자 확인",IFERROR(IF(MATCH(K160,PG_LIST!$A:$A,0)&gt;0,"DNC 가능","Program 파일 없음"),"Program 파일 없음"))))</x:f>
      </x:c>
      <x:c r="M160" s="6" t="str">
        <x:f>IF(A160="","",IF(COUNTIF(MGMT_RULE!$A:$A,J160)&gt;0,"관리번호 전용 RULE",IF(COUNTIF(RULE_MAIN!$A:$A,H160)&gt;0,"정확 RULE",IF(COUNTIF(RULE_MAIN!$A:$A,I160)&gt;0,"ANY RULE","확정 RULE 필요"))))</x:f>
      </x:c>
      <x:c r="N160" s="6" t="str">
        <x:f t="shared" si="22"/>
      </x:c>
      <x:c r="O160" s="6" t="str">
        <x:f t="shared" si="23"/>
      </x:c>
    </x:row>
    <x:row r="161">
      <x:c r="A161" s="2"/>
      <x:c r="B161" s="2"/>
      <x:c r="C161" s="2"/>
      <x:c r="D161" s="2"/>
      <x:c r="E161" s="3" t="str">
        <x:f t="shared" si="16"/>
      </x:c>
      <x:c r="F161" s="3" t="str">
        <x:f t="shared" si="17"/>
      </x:c>
      <x:c r="G161" s="3" t="str">
        <x:f t="shared" si="18"/>
        <x:v>OMS2 확인</x:v>
      </x:c>
      <x:c r="H161" s="3" t="str">
        <x:f t="shared" si="19"/>
      </x:c>
      <x:c r="I161" s="3" t="str">
        <x:f t="shared" si="20"/>
      </x:c>
      <x:c r="J161" s="3" t="str">
        <x:f t="shared" si="21"/>
      </x:c>
      <x:c r="K161" s="4" t="str">
        <x:f>IF(A161="","",IFERROR(VLOOKUP(J161,MGMT_RULE!$A:$G,7,FALSE),IFERROR(VLOOKUP(H161,RULE_MAIN!$A:$F,6,FALSE),IFERROR(VLOOKUP(I161,RULE_MAIN!$A:$F,6,FALSE),"관리자 확인"))))</x:f>
      </x:c>
      <x:c r="L161" s="5" t="str">
        <x:f>IF(A161="","",IF(K161="관리자 확인","DNC 차단",IF(ISNUMBER(SEARCH("후보",K161)),"관리자 확인",IFERROR(IF(MATCH(K161,PG_LIST!$A:$A,0)&gt;0,"DNC 가능","Program 파일 없음"),"Program 파일 없음"))))</x:f>
      </x:c>
      <x:c r="M161" s="6" t="str">
        <x:f>IF(A161="","",IF(COUNTIF(MGMT_RULE!$A:$A,J161)&gt;0,"관리번호 전용 RULE",IF(COUNTIF(RULE_MAIN!$A:$A,H161)&gt;0,"정확 RULE",IF(COUNTIF(RULE_MAIN!$A:$A,I161)&gt;0,"ANY RULE","확정 RULE 필요"))))</x:f>
      </x:c>
      <x:c r="N161" s="6" t="str">
        <x:f t="shared" si="22"/>
      </x:c>
      <x:c r="O161" s="6" t="str">
        <x:f t="shared" si="23"/>
      </x:c>
    </x:row>
    <x:row r="162">
      <x:c r="A162" s="2"/>
      <x:c r="B162" s="2"/>
      <x:c r="C162" s="2"/>
      <x:c r="D162" s="2"/>
      <x:c r="E162" s="3" t="str">
        <x:f t="shared" si="16"/>
      </x:c>
      <x:c r="F162" s="3" t="str">
        <x:f t="shared" si="17"/>
      </x:c>
      <x:c r="G162" s="3" t="str">
        <x:f t="shared" si="18"/>
        <x:v>OMS2 확인</x:v>
      </x:c>
      <x:c r="H162" s="3" t="str">
        <x:f t="shared" si="19"/>
      </x:c>
      <x:c r="I162" s="3" t="str">
        <x:f t="shared" si="20"/>
      </x:c>
      <x:c r="J162" s="3" t="str">
        <x:f t="shared" si="21"/>
      </x:c>
      <x:c r="K162" s="4" t="str">
        <x:f>IF(A162="","",IFERROR(VLOOKUP(J162,MGMT_RULE!$A:$G,7,FALSE),IFERROR(VLOOKUP(H162,RULE_MAIN!$A:$F,6,FALSE),IFERROR(VLOOKUP(I162,RULE_MAIN!$A:$F,6,FALSE),"관리자 확인"))))</x:f>
      </x:c>
      <x:c r="L162" s="5" t="str">
        <x:f>IF(A162="","",IF(K162="관리자 확인","DNC 차단",IF(ISNUMBER(SEARCH("후보",K162)),"관리자 확인",IFERROR(IF(MATCH(K162,PG_LIST!$A:$A,0)&gt;0,"DNC 가능","Program 파일 없음"),"Program 파일 없음"))))</x:f>
      </x:c>
      <x:c r="M162" s="6" t="str">
        <x:f>IF(A162="","",IF(COUNTIF(MGMT_RULE!$A:$A,J162)&gt;0,"관리번호 전용 RULE",IF(COUNTIF(RULE_MAIN!$A:$A,H162)&gt;0,"정확 RULE",IF(COUNTIF(RULE_MAIN!$A:$A,I162)&gt;0,"ANY RULE","확정 RULE 필요"))))</x:f>
      </x:c>
      <x:c r="N162" s="6" t="str">
        <x:f t="shared" si="22"/>
      </x:c>
      <x:c r="O162" s="6" t="str">
        <x:f t="shared" si="23"/>
      </x:c>
    </x:row>
    <x:row r="163">
      <x:c r="A163" s="2"/>
      <x:c r="B163" s="2"/>
      <x:c r="C163" s="2"/>
      <x:c r="D163" s="2"/>
      <x:c r="E163" s="3" t="str">
        <x:f t="shared" si="16"/>
      </x:c>
      <x:c r="F163" s="3" t="str">
        <x:f t="shared" si="17"/>
      </x:c>
      <x:c r="G163" s="3" t="str">
        <x:f t="shared" si="18"/>
        <x:v>OMS2 확인</x:v>
      </x:c>
      <x:c r="H163" s="3" t="str">
        <x:f t="shared" si="19"/>
      </x:c>
      <x:c r="I163" s="3" t="str">
        <x:f t="shared" si="20"/>
      </x:c>
      <x:c r="J163" s="3" t="str">
        <x:f t="shared" si="21"/>
      </x:c>
      <x:c r="K163" s="4" t="str">
        <x:f>IF(A163="","",IFERROR(VLOOKUP(J163,MGMT_RULE!$A:$G,7,FALSE),IFERROR(VLOOKUP(H163,RULE_MAIN!$A:$F,6,FALSE),IFERROR(VLOOKUP(I163,RULE_MAIN!$A:$F,6,FALSE),"관리자 확인"))))</x:f>
      </x:c>
      <x:c r="L163" s="5" t="str">
        <x:f>IF(A163="","",IF(K163="관리자 확인","DNC 차단",IF(ISNUMBER(SEARCH("후보",K163)),"관리자 확인",IFERROR(IF(MATCH(K163,PG_LIST!$A:$A,0)&gt;0,"DNC 가능","Program 파일 없음"),"Program 파일 없음"))))</x:f>
      </x:c>
      <x:c r="M163" s="6" t="str">
        <x:f>IF(A163="","",IF(COUNTIF(MGMT_RULE!$A:$A,J163)&gt;0,"관리번호 전용 RULE",IF(COUNTIF(RULE_MAIN!$A:$A,H163)&gt;0,"정확 RULE",IF(COUNTIF(RULE_MAIN!$A:$A,I163)&gt;0,"ANY RULE","확정 RULE 필요"))))</x:f>
      </x:c>
      <x:c r="N163" s="6" t="str">
        <x:f t="shared" si="22"/>
      </x:c>
      <x:c r="O163" s="6" t="str">
        <x:f t="shared" si="23"/>
      </x:c>
    </x:row>
    <x:row r="164">
      <x:c r="A164" s="2"/>
      <x:c r="B164" s="2"/>
      <x:c r="C164" s="2"/>
      <x:c r="D164" s="2"/>
      <x:c r="E164" s="3" t="str">
        <x:f t="shared" si="16"/>
      </x:c>
      <x:c r="F164" s="3" t="str">
        <x:f t="shared" si="17"/>
      </x:c>
      <x:c r="G164" s="3" t="str">
        <x:f t="shared" si="18"/>
        <x:v>OMS2 확인</x:v>
      </x:c>
      <x:c r="H164" s="3" t="str">
        <x:f t="shared" si="19"/>
      </x:c>
      <x:c r="I164" s="3" t="str">
        <x:f t="shared" si="20"/>
      </x:c>
      <x:c r="J164" s="3" t="str">
        <x:f t="shared" si="21"/>
      </x:c>
      <x:c r="K164" s="4" t="str">
        <x:f>IF(A164="","",IFERROR(VLOOKUP(J164,MGMT_RULE!$A:$G,7,FALSE),IFERROR(VLOOKUP(H164,RULE_MAIN!$A:$F,6,FALSE),IFERROR(VLOOKUP(I164,RULE_MAIN!$A:$F,6,FALSE),"관리자 확인"))))</x:f>
      </x:c>
      <x:c r="L164" s="5" t="str">
        <x:f>IF(A164="","",IF(K164="관리자 확인","DNC 차단",IF(ISNUMBER(SEARCH("후보",K164)),"관리자 확인",IFERROR(IF(MATCH(K164,PG_LIST!$A:$A,0)&gt;0,"DNC 가능","Program 파일 없음"),"Program 파일 없음"))))</x:f>
      </x:c>
      <x:c r="M164" s="6" t="str">
        <x:f>IF(A164="","",IF(COUNTIF(MGMT_RULE!$A:$A,J164)&gt;0,"관리번호 전용 RULE",IF(COUNTIF(RULE_MAIN!$A:$A,H164)&gt;0,"정확 RULE",IF(COUNTIF(RULE_MAIN!$A:$A,I164)&gt;0,"ANY RULE","확정 RULE 필요"))))</x:f>
      </x:c>
      <x:c r="N164" s="6" t="str">
        <x:f t="shared" si="22"/>
      </x:c>
      <x:c r="O164" s="6" t="str">
        <x:f t="shared" si="23"/>
      </x:c>
    </x:row>
    <x:row r="165">
      <x:c r="A165" s="2"/>
      <x:c r="B165" s="2"/>
      <x:c r="C165" s="2"/>
      <x:c r="D165" s="2"/>
      <x:c r="E165" s="3" t="str">
        <x:f t="shared" si="16"/>
      </x:c>
      <x:c r="F165" s="3" t="str">
        <x:f t="shared" si="17"/>
      </x:c>
      <x:c r="G165" s="3" t="str">
        <x:f t="shared" si="18"/>
        <x:v>OMS2 확인</x:v>
      </x:c>
      <x:c r="H165" s="3" t="str">
        <x:f t="shared" si="19"/>
      </x:c>
      <x:c r="I165" s="3" t="str">
        <x:f t="shared" si="20"/>
      </x:c>
      <x:c r="J165" s="3" t="str">
        <x:f t="shared" si="21"/>
      </x:c>
      <x:c r="K165" s="4" t="str">
        <x:f>IF(A165="","",IFERROR(VLOOKUP(J165,MGMT_RULE!$A:$G,7,FALSE),IFERROR(VLOOKUP(H165,RULE_MAIN!$A:$F,6,FALSE),IFERROR(VLOOKUP(I165,RULE_MAIN!$A:$F,6,FALSE),"관리자 확인"))))</x:f>
      </x:c>
      <x:c r="L165" s="5" t="str">
        <x:f>IF(A165="","",IF(K165="관리자 확인","DNC 차단",IF(ISNUMBER(SEARCH("후보",K165)),"관리자 확인",IFERROR(IF(MATCH(K165,PG_LIST!$A:$A,0)&gt;0,"DNC 가능","Program 파일 없음"),"Program 파일 없음"))))</x:f>
      </x:c>
      <x:c r="M165" s="6" t="str">
        <x:f>IF(A165="","",IF(COUNTIF(MGMT_RULE!$A:$A,J165)&gt;0,"관리번호 전용 RULE",IF(COUNTIF(RULE_MAIN!$A:$A,H165)&gt;0,"정확 RULE",IF(COUNTIF(RULE_MAIN!$A:$A,I165)&gt;0,"ANY RULE","확정 RULE 필요"))))</x:f>
      </x:c>
      <x:c r="N165" s="6" t="str">
        <x:f t="shared" si="22"/>
      </x:c>
      <x:c r="O165" s="6" t="str">
        <x:f t="shared" si="23"/>
      </x:c>
    </x:row>
    <x:row r="166">
      <x:c r="A166" s="2"/>
      <x:c r="B166" s="2"/>
      <x:c r="C166" s="2"/>
      <x:c r="D166" s="2"/>
      <x:c r="E166" s="3" t="str">
        <x:f t="shared" si="16"/>
      </x:c>
      <x:c r="F166" s="3" t="str">
        <x:f t="shared" si="17"/>
      </x:c>
      <x:c r="G166" s="3" t="str">
        <x:f t="shared" si="18"/>
        <x:v>OMS2 확인</x:v>
      </x:c>
      <x:c r="H166" s="3" t="str">
        <x:f t="shared" si="19"/>
      </x:c>
      <x:c r="I166" s="3" t="str">
        <x:f t="shared" si="20"/>
      </x:c>
      <x:c r="J166" s="3" t="str">
        <x:f t="shared" si="21"/>
      </x:c>
      <x:c r="K166" s="4" t="str">
        <x:f>IF(A166="","",IFERROR(VLOOKUP(J166,MGMT_RULE!$A:$G,7,FALSE),IFERROR(VLOOKUP(H166,RULE_MAIN!$A:$F,6,FALSE),IFERROR(VLOOKUP(I166,RULE_MAIN!$A:$F,6,FALSE),"관리자 확인"))))</x:f>
      </x:c>
      <x:c r="L166" s="5" t="str">
        <x:f>IF(A166="","",IF(K166="관리자 확인","DNC 차단",IF(ISNUMBER(SEARCH("후보",K166)),"관리자 확인",IFERROR(IF(MATCH(K166,PG_LIST!$A:$A,0)&gt;0,"DNC 가능","Program 파일 없음"),"Program 파일 없음"))))</x:f>
      </x:c>
      <x:c r="M166" s="6" t="str">
        <x:f>IF(A166="","",IF(COUNTIF(MGMT_RULE!$A:$A,J166)&gt;0,"관리번호 전용 RULE",IF(COUNTIF(RULE_MAIN!$A:$A,H166)&gt;0,"정확 RULE",IF(COUNTIF(RULE_MAIN!$A:$A,I166)&gt;0,"ANY RULE","확정 RULE 필요"))))</x:f>
      </x:c>
      <x:c r="N166" s="6" t="str">
        <x:f t="shared" si="22"/>
      </x:c>
      <x:c r="O166" s="6" t="str">
        <x:f t="shared" si="23"/>
      </x:c>
    </x:row>
    <x:row r="167">
      <x:c r="A167" s="2"/>
      <x:c r="B167" s="2"/>
      <x:c r="C167" s="2"/>
      <x:c r="D167" s="2"/>
      <x:c r="E167" s="3" t="str">
        <x:f t="shared" si="16"/>
      </x:c>
      <x:c r="F167" s="3" t="str">
        <x:f t="shared" si="17"/>
      </x:c>
      <x:c r="G167" s="3" t="str">
        <x:f t="shared" si="18"/>
        <x:v>OMS2 확인</x:v>
      </x:c>
      <x:c r="H167" s="3" t="str">
        <x:f t="shared" si="19"/>
      </x:c>
      <x:c r="I167" s="3" t="str">
        <x:f t="shared" si="20"/>
      </x:c>
      <x:c r="J167" s="3" t="str">
        <x:f t="shared" si="21"/>
      </x:c>
      <x:c r="K167" s="4" t="str">
        <x:f>IF(A167="","",IFERROR(VLOOKUP(J167,MGMT_RULE!$A:$G,7,FALSE),IFERROR(VLOOKUP(H167,RULE_MAIN!$A:$F,6,FALSE),IFERROR(VLOOKUP(I167,RULE_MAIN!$A:$F,6,FALSE),"관리자 확인"))))</x:f>
      </x:c>
      <x:c r="L167" s="5" t="str">
        <x:f>IF(A167="","",IF(K167="관리자 확인","DNC 차단",IF(ISNUMBER(SEARCH("후보",K167)),"관리자 확인",IFERROR(IF(MATCH(K167,PG_LIST!$A:$A,0)&gt;0,"DNC 가능","Program 파일 없음"),"Program 파일 없음"))))</x:f>
      </x:c>
      <x:c r="M167" s="6" t="str">
        <x:f>IF(A167="","",IF(COUNTIF(MGMT_RULE!$A:$A,J167)&gt;0,"관리번호 전용 RULE",IF(COUNTIF(RULE_MAIN!$A:$A,H167)&gt;0,"정확 RULE",IF(COUNTIF(RULE_MAIN!$A:$A,I167)&gt;0,"ANY RULE","확정 RULE 필요"))))</x:f>
      </x:c>
      <x:c r="N167" s="6" t="str">
        <x:f t="shared" si="22"/>
      </x:c>
      <x:c r="O167" s="6" t="str">
        <x:f t="shared" si="23"/>
      </x:c>
    </x:row>
    <x:row r="168">
      <x:c r="A168" s="2"/>
      <x:c r="B168" s="2"/>
      <x:c r="C168" s="2"/>
      <x:c r="D168" s="2"/>
      <x:c r="E168" s="3" t="str">
        <x:f t="shared" si="16"/>
      </x:c>
      <x:c r="F168" s="3" t="str">
        <x:f t="shared" si="17"/>
      </x:c>
      <x:c r="G168" s="3" t="str">
        <x:f t="shared" si="18"/>
        <x:v>OMS2 확인</x:v>
      </x:c>
      <x:c r="H168" s="3" t="str">
        <x:f t="shared" si="19"/>
      </x:c>
      <x:c r="I168" s="3" t="str">
        <x:f t="shared" si="20"/>
      </x:c>
      <x:c r="J168" s="3" t="str">
        <x:f t="shared" si="21"/>
      </x:c>
      <x:c r="K168" s="4" t="str">
        <x:f>IF(A168="","",IFERROR(VLOOKUP(J168,MGMT_RULE!$A:$G,7,FALSE),IFERROR(VLOOKUP(H168,RULE_MAIN!$A:$F,6,FALSE),IFERROR(VLOOKUP(I168,RULE_MAIN!$A:$F,6,FALSE),"관리자 확인"))))</x:f>
      </x:c>
      <x:c r="L168" s="5" t="str">
        <x:f>IF(A168="","",IF(K168="관리자 확인","DNC 차단",IF(ISNUMBER(SEARCH("후보",K168)),"관리자 확인",IFERROR(IF(MATCH(K168,PG_LIST!$A:$A,0)&gt;0,"DNC 가능","Program 파일 없음"),"Program 파일 없음"))))</x:f>
      </x:c>
      <x:c r="M168" s="6" t="str">
        <x:f>IF(A168="","",IF(COUNTIF(MGMT_RULE!$A:$A,J168)&gt;0,"관리번호 전용 RULE",IF(COUNTIF(RULE_MAIN!$A:$A,H168)&gt;0,"정확 RULE",IF(COUNTIF(RULE_MAIN!$A:$A,I168)&gt;0,"ANY RULE","확정 RULE 필요"))))</x:f>
      </x:c>
      <x:c r="N168" s="6" t="str">
        <x:f t="shared" si="22"/>
      </x:c>
      <x:c r="O168" s="6" t="str">
        <x:f t="shared" si="23"/>
      </x:c>
    </x:row>
    <x:row r="169">
      <x:c r="A169" s="2"/>
      <x:c r="B169" s="2"/>
      <x:c r="C169" s="2"/>
      <x:c r="D169" s="2"/>
      <x:c r="E169" s="3" t="str">
        <x:f t="shared" si="16"/>
      </x:c>
      <x:c r="F169" s="3" t="str">
        <x:f t="shared" si="17"/>
      </x:c>
      <x:c r="G169" s="3" t="str">
        <x:f t="shared" si="18"/>
        <x:v>OMS2 확인</x:v>
      </x:c>
      <x:c r="H169" s="3" t="str">
        <x:f t="shared" si="19"/>
      </x:c>
      <x:c r="I169" s="3" t="str">
        <x:f t="shared" si="20"/>
      </x:c>
      <x:c r="J169" s="3" t="str">
        <x:f t="shared" si="21"/>
      </x:c>
      <x:c r="K169" s="4" t="str">
        <x:f>IF(A169="","",IFERROR(VLOOKUP(J169,MGMT_RULE!$A:$G,7,FALSE),IFERROR(VLOOKUP(H169,RULE_MAIN!$A:$F,6,FALSE),IFERROR(VLOOKUP(I169,RULE_MAIN!$A:$F,6,FALSE),"관리자 확인"))))</x:f>
      </x:c>
      <x:c r="L169" s="5" t="str">
        <x:f>IF(A169="","",IF(K169="관리자 확인","DNC 차단",IF(ISNUMBER(SEARCH("후보",K169)),"관리자 확인",IFERROR(IF(MATCH(K169,PG_LIST!$A:$A,0)&gt;0,"DNC 가능","Program 파일 없음"),"Program 파일 없음"))))</x:f>
      </x:c>
      <x:c r="M169" s="6" t="str">
        <x:f>IF(A169="","",IF(COUNTIF(MGMT_RULE!$A:$A,J169)&gt;0,"관리번호 전용 RULE",IF(COUNTIF(RULE_MAIN!$A:$A,H169)&gt;0,"정확 RULE",IF(COUNTIF(RULE_MAIN!$A:$A,I169)&gt;0,"ANY RULE","확정 RULE 필요"))))</x:f>
      </x:c>
      <x:c r="N169" s="6" t="str">
        <x:f t="shared" si="22"/>
      </x:c>
      <x:c r="O169" s="6" t="str">
        <x:f t="shared" si="23"/>
      </x:c>
    </x:row>
    <x:row r="170">
      <x:c r="A170" s="2"/>
      <x:c r="B170" s="2"/>
      <x:c r="C170" s="2"/>
      <x:c r="D170" s="2"/>
      <x:c r="E170" s="3" t="str">
        <x:f t="shared" si="16"/>
      </x:c>
      <x:c r="F170" s="3" t="str">
        <x:f t="shared" si="17"/>
      </x:c>
      <x:c r="G170" s="3" t="str">
        <x:f t="shared" si="18"/>
        <x:v>OMS2 확인</x:v>
      </x:c>
      <x:c r="H170" s="3" t="str">
        <x:f t="shared" si="19"/>
      </x:c>
      <x:c r="I170" s="3" t="str">
        <x:f t="shared" si="20"/>
      </x:c>
      <x:c r="J170" s="3" t="str">
        <x:f t="shared" si="21"/>
      </x:c>
      <x:c r="K170" s="4" t="str">
        <x:f>IF(A170="","",IFERROR(VLOOKUP(J170,MGMT_RULE!$A:$G,7,FALSE),IFERROR(VLOOKUP(H170,RULE_MAIN!$A:$F,6,FALSE),IFERROR(VLOOKUP(I170,RULE_MAIN!$A:$F,6,FALSE),"관리자 확인"))))</x:f>
      </x:c>
      <x:c r="L170" s="5" t="str">
        <x:f>IF(A170="","",IF(K170="관리자 확인","DNC 차단",IF(ISNUMBER(SEARCH("후보",K170)),"관리자 확인",IFERROR(IF(MATCH(K170,PG_LIST!$A:$A,0)&gt;0,"DNC 가능","Program 파일 없음"),"Program 파일 없음"))))</x:f>
      </x:c>
      <x:c r="M170" s="6" t="str">
        <x:f>IF(A170="","",IF(COUNTIF(MGMT_RULE!$A:$A,J170)&gt;0,"관리번호 전용 RULE",IF(COUNTIF(RULE_MAIN!$A:$A,H170)&gt;0,"정확 RULE",IF(COUNTIF(RULE_MAIN!$A:$A,I170)&gt;0,"ANY RULE","확정 RULE 필요"))))</x:f>
      </x:c>
      <x:c r="N170" s="6" t="str">
        <x:f t="shared" si="22"/>
      </x:c>
      <x:c r="O170" s="6" t="str">
        <x:f t="shared" si="23"/>
      </x:c>
    </x:row>
    <x:row r="171">
      <x:c r="A171" s="2"/>
      <x:c r="B171" s="2"/>
      <x:c r="C171" s="2"/>
      <x:c r="D171" s="2"/>
      <x:c r="E171" s="3" t="str">
        <x:f t="shared" si="16"/>
      </x:c>
      <x:c r="F171" s="3" t="str">
        <x:f t="shared" si="17"/>
      </x:c>
      <x:c r="G171" s="3" t="str">
        <x:f t="shared" si="18"/>
        <x:v>OMS2 확인</x:v>
      </x:c>
      <x:c r="H171" s="3" t="str">
        <x:f t="shared" si="19"/>
      </x:c>
      <x:c r="I171" s="3" t="str">
        <x:f t="shared" si="20"/>
      </x:c>
      <x:c r="J171" s="3" t="str">
        <x:f t="shared" si="21"/>
      </x:c>
      <x:c r="K171" s="4" t="str">
        <x:f>IF(A171="","",IFERROR(VLOOKUP(J171,MGMT_RULE!$A:$G,7,FALSE),IFERROR(VLOOKUP(H171,RULE_MAIN!$A:$F,6,FALSE),IFERROR(VLOOKUP(I171,RULE_MAIN!$A:$F,6,FALSE),"관리자 확인"))))</x:f>
      </x:c>
      <x:c r="L171" s="5" t="str">
        <x:f>IF(A171="","",IF(K171="관리자 확인","DNC 차단",IF(ISNUMBER(SEARCH("후보",K171)),"관리자 확인",IFERROR(IF(MATCH(K171,PG_LIST!$A:$A,0)&gt;0,"DNC 가능","Program 파일 없음"),"Program 파일 없음"))))</x:f>
      </x:c>
      <x:c r="M171" s="6" t="str">
        <x:f>IF(A171="","",IF(COUNTIF(MGMT_RULE!$A:$A,J171)&gt;0,"관리번호 전용 RULE",IF(COUNTIF(RULE_MAIN!$A:$A,H171)&gt;0,"정확 RULE",IF(COUNTIF(RULE_MAIN!$A:$A,I171)&gt;0,"ANY RULE","확정 RULE 필요"))))</x:f>
      </x:c>
      <x:c r="N171" s="6" t="str">
        <x:f t="shared" si="22"/>
      </x:c>
      <x:c r="O171" s="6" t="str">
        <x:f t="shared" si="23"/>
      </x:c>
    </x:row>
    <x:row r="172">
      <x:c r="A172" s="2"/>
      <x:c r="B172" s="2"/>
      <x:c r="C172" s="2"/>
      <x:c r="D172" s="2"/>
      <x:c r="E172" s="3" t="str">
        <x:f t="shared" si="16"/>
      </x:c>
      <x:c r="F172" s="3" t="str">
        <x:f t="shared" si="17"/>
      </x:c>
      <x:c r="G172" s="3" t="str">
        <x:f t="shared" si="18"/>
        <x:v>OMS2 확인</x:v>
      </x:c>
      <x:c r="H172" s="3" t="str">
        <x:f t="shared" si="19"/>
      </x:c>
      <x:c r="I172" s="3" t="str">
        <x:f t="shared" si="20"/>
      </x:c>
      <x:c r="J172" s="3" t="str">
        <x:f t="shared" si="21"/>
      </x:c>
      <x:c r="K172" s="4" t="str">
        <x:f>IF(A172="","",IFERROR(VLOOKUP(J172,MGMT_RULE!$A:$G,7,FALSE),IFERROR(VLOOKUP(H172,RULE_MAIN!$A:$F,6,FALSE),IFERROR(VLOOKUP(I172,RULE_MAIN!$A:$F,6,FALSE),"관리자 확인"))))</x:f>
      </x:c>
      <x:c r="L172" s="5" t="str">
        <x:f>IF(A172="","",IF(K172="관리자 확인","DNC 차단",IF(ISNUMBER(SEARCH("후보",K172)),"관리자 확인",IFERROR(IF(MATCH(K172,PG_LIST!$A:$A,0)&gt;0,"DNC 가능","Program 파일 없음"),"Program 파일 없음"))))</x:f>
      </x:c>
      <x:c r="M172" s="6" t="str">
        <x:f>IF(A172="","",IF(COUNTIF(MGMT_RULE!$A:$A,J172)&gt;0,"관리번호 전용 RULE",IF(COUNTIF(RULE_MAIN!$A:$A,H172)&gt;0,"정확 RULE",IF(COUNTIF(RULE_MAIN!$A:$A,I172)&gt;0,"ANY RULE","확정 RULE 필요"))))</x:f>
      </x:c>
      <x:c r="N172" s="6" t="str">
        <x:f t="shared" si="22"/>
      </x:c>
      <x:c r="O172" s="6" t="str">
        <x:f t="shared" si="23"/>
      </x:c>
    </x:row>
    <x:row r="173">
      <x:c r="A173" s="2"/>
      <x:c r="B173" s="2"/>
      <x:c r="C173" s="2"/>
      <x:c r="D173" s="2"/>
      <x:c r="E173" s="3" t="str">
        <x:f t="shared" si="16"/>
      </x:c>
      <x:c r="F173" s="3" t="str">
        <x:f t="shared" si="17"/>
      </x:c>
      <x:c r="G173" s="3" t="str">
        <x:f t="shared" si="18"/>
        <x:v>OMS2 확인</x:v>
      </x:c>
      <x:c r="H173" s="3" t="str">
        <x:f t="shared" si="19"/>
      </x:c>
      <x:c r="I173" s="3" t="str">
        <x:f t="shared" si="20"/>
      </x:c>
      <x:c r="J173" s="3" t="str">
        <x:f t="shared" si="21"/>
      </x:c>
      <x:c r="K173" s="4" t="str">
        <x:f>IF(A173="","",IFERROR(VLOOKUP(J173,MGMT_RULE!$A:$G,7,FALSE),IFERROR(VLOOKUP(H173,RULE_MAIN!$A:$F,6,FALSE),IFERROR(VLOOKUP(I173,RULE_MAIN!$A:$F,6,FALSE),"관리자 확인"))))</x:f>
      </x:c>
      <x:c r="L173" s="5" t="str">
        <x:f>IF(A173="","",IF(K173="관리자 확인","DNC 차단",IF(ISNUMBER(SEARCH("후보",K173)),"관리자 확인",IFERROR(IF(MATCH(K173,PG_LIST!$A:$A,0)&gt;0,"DNC 가능","Program 파일 없음"),"Program 파일 없음"))))</x:f>
      </x:c>
      <x:c r="M173" s="6" t="str">
        <x:f>IF(A173="","",IF(COUNTIF(MGMT_RULE!$A:$A,J173)&gt;0,"관리번호 전용 RULE",IF(COUNTIF(RULE_MAIN!$A:$A,H173)&gt;0,"정확 RULE",IF(COUNTIF(RULE_MAIN!$A:$A,I173)&gt;0,"ANY RULE","확정 RULE 필요"))))</x:f>
      </x:c>
      <x:c r="N173" s="6" t="str">
        <x:f t="shared" si="22"/>
      </x:c>
      <x:c r="O173" s="6" t="str">
        <x:f t="shared" si="23"/>
      </x:c>
    </x:row>
    <x:row r="174">
      <x:c r="A174" s="2"/>
      <x:c r="B174" s="2"/>
      <x:c r="C174" s="2"/>
      <x:c r="D174" s="2"/>
      <x:c r="E174" s="3" t="str">
        <x:f t="shared" si="16"/>
      </x:c>
      <x:c r="F174" s="3" t="str">
        <x:f t="shared" si="17"/>
      </x:c>
      <x:c r="G174" s="3" t="str">
        <x:f t="shared" si="18"/>
        <x:v>OMS2 확인</x:v>
      </x:c>
      <x:c r="H174" s="3" t="str">
        <x:f t="shared" si="19"/>
      </x:c>
      <x:c r="I174" s="3" t="str">
        <x:f t="shared" si="20"/>
      </x:c>
      <x:c r="J174" s="3" t="str">
        <x:f t="shared" si="21"/>
      </x:c>
      <x:c r="K174" s="4" t="str">
        <x:f>IF(A174="","",IFERROR(VLOOKUP(J174,MGMT_RULE!$A:$G,7,FALSE),IFERROR(VLOOKUP(H174,RULE_MAIN!$A:$F,6,FALSE),IFERROR(VLOOKUP(I174,RULE_MAIN!$A:$F,6,FALSE),"관리자 확인"))))</x:f>
      </x:c>
      <x:c r="L174" s="5" t="str">
        <x:f>IF(A174="","",IF(K174="관리자 확인","DNC 차단",IF(ISNUMBER(SEARCH("후보",K174)),"관리자 확인",IFERROR(IF(MATCH(K174,PG_LIST!$A:$A,0)&gt;0,"DNC 가능","Program 파일 없음"),"Program 파일 없음"))))</x:f>
      </x:c>
      <x:c r="M174" s="6" t="str">
        <x:f>IF(A174="","",IF(COUNTIF(MGMT_RULE!$A:$A,J174)&gt;0,"관리번호 전용 RULE",IF(COUNTIF(RULE_MAIN!$A:$A,H174)&gt;0,"정확 RULE",IF(COUNTIF(RULE_MAIN!$A:$A,I174)&gt;0,"ANY RULE","확정 RULE 필요"))))</x:f>
      </x:c>
      <x:c r="N174" s="6" t="str">
        <x:f t="shared" si="22"/>
      </x:c>
      <x:c r="O174" s="6" t="str">
        <x:f t="shared" si="23"/>
      </x:c>
    </x:row>
    <x:row r="175">
      <x:c r="A175" s="2"/>
      <x:c r="B175" s="2"/>
      <x:c r="C175" s="2"/>
      <x:c r="D175" s="2"/>
      <x:c r="E175" s="3" t="str">
        <x:f t="shared" si="16"/>
      </x:c>
      <x:c r="F175" s="3" t="str">
        <x:f t="shared" si="17"/>
      </x:c>
      <x:c r="G175" s="3" t="str">
        <x:f t="shared" si="18"/>
        <x:v>OMS2 확인</x:v>
      </x:c>
      <x:c r="H175" s="3" t="str">
        <x:f t="shared" si="19"/>
      </x:c>
      <x:c r="I175" s="3" t="str">
        <x:f t="shared" si="20"/>
      </x:c>
      <x:c r="J175" s="3" t="str">
        <x:f t="shared" si="21"/>
      </x:c>
      <x:c r="K175" s="4" t="str">
        <x:f>IF(A175="","",IFERROR(VLOOKUP(J175,MGMT_RULE!$A:$G,7,FALSE),IFERROR(VLOOKUP(H175,RULE_MAIN!$A:$F,6,FALSE),IFERROR(VLOOKUP(I175,RULE_MAIN!$A:$F,6,FALSE),"관리자 확인"))))</x:f>
      </x:c>
      <x:c r="L175" s="5" t="str">
        <x:f>IF(A175="","",IF(K175="관리자 확인","DNC 차단",IF(ISNUMBER(SEARCH("후보",K175)),"관리자 확인",IFERROR(IF(MATCH(K175,PG_LIST!$A:$A,0)&gt;0,"DNC 가능","Program 파일 없음"),"Program 파일 없음"))))</x:f>
      </x:c>
      <x:c r="M175" s="6" t="str">
        <x:f>IF(A175="","",IF(COUNTIF(MGMT_RULE!$A:$A,J175)&gt;0,"관리번호 전용 RULE",IF(COUNTIF(RULE_MAIN!$A:$A,H175)&gt;0,"정확 RULE",IF(COUNTIF(RULE_MAIN!$A:$A,I175)&gt;0,"ANY RULE","확정 RULE 필요"))))</x:f>
      </x:c>
      <x:c r="N175" s="6" t="str">
        <x:f t="shared" si="22"/>
      </x:c>
      <x:c r="O175" s="6" t="str">
        <x:f t="shared" si="23"/>
      </x:c>
    </x:row>
    <x:row r="176">
      <x:c r="A176" s="2"/>
      <x:c r="B176" s="2"/>
      <x:c r="C176" s="2"/>
      <x:c r="D176" s="2"/>
      <x:c r="E176" s="3" t="str">
        <x:f t="shared" si="16"/>
      </x:c>
      <x:c r="F176" s="3" t="str">
        <x:f t="shared" si="17"/>
      </x:c>
      <x:c r="G176" s="3" t="str">
        <x:f t="shared" si="18"/>
        <x:v>OMS2 확인</x:v>
      </x:c>
      <x:c r="H176" s="3" t="str">
        <x:f t="shared" si="19"/>
      </x:c>
      <x:c r="I176" s="3" t="str">
        <x:f t="shared" si="20"/>
      </x:c>
      <x:c r="J176" s="3" t="str">
        <x:f t="shared" si="21"/>
      </x:c>
      <x:c r="K176" s="4" t="str">
        <x:f>IF(A176="","",IFERROR(VLOOKUP(J176,MGMT_RULE!$A:$G,7,FALSE),IFERROR(VLOOKUP(H176,RULE_MAIN!$A:$F,6,FALSE),IFERROR(VLOOKUP(I176,RULE_MAIN!$A:$F,6,FALSE),"관리자 확인"))))</x:f>
      </x:c>
      <x:c r="L176" s="5" t="str">
        <x:f>IF(A176="","",IF(K176="관리자 확인","DNC 차단",IF(ISNUMBER(SEARCH("후보",K176)),"관리자 확인",IFERROR(IF(MATCH(K176,PG_LIST!$A:$A,0)&gt;0,"DNC 가능","Program 파일 없음"),"Program 파일 없음"))))</x:f>
      </x:c>
      <x:c r="M176" s="6" t="str">
        <x:f>IF(A176="","",IF(COUNTIF(MGMT_RULE!$A:$A,J176)&gt;0,"관리번호 전용 RULE",IF(COUNTIF(RULE_MAIN!$A:$A,H176)&gt;0,"정확 RULE",IF(COUNTIF(RULE_MAIN!$A:$A,I176)&gt;0,"ANY RULE","확정 RULE 필요"))))</x:f>
      </x:c>
      <x:c r="N176" s="6" t="str">
        <x:f t="shared" si="22"/>
      </x:c>
      <x:c r="O176" s="6" t="str">
        <x:f t="shared" si="23"/>
      </x:c>
    </x:row>
    <x:row r="177">
      <x:c r="A177" s="2"/>
      <x:c r="B177" s="2"/>
      <x:c r="C177" s="2"/>
      <x:c r="D177" s="2"/>
      <x:c r="E177" s="3" t="str">
        <x:f t="shared" si="16"/>
      </x:c>
      <x:c r="F177" s="3" t="str">
        <x:f t="shared" si="17"/>
      </x:c>
      <x:c r="G177" s="3" t="str">
        <x:f t="shared" si="18"/>
        <x:v>OMS2 확인</x:v>
      </x:c>
      <x:c r="H177" s="3" t="str">
        <x:f t="shared" si="19"/>
      </x:c>
      <x:c r="I177" s="3" t="str">
        <x:f t="shared" si="20"/>
      </x:c>
      <x:c r="J177" s="3" t="str">
        <x:f t="shared" si="21"/>
      </x:c>
      <x:c r="K177" s="4" t="str">
        <x:f>IF(A177="","",IFERROR(VLOOKUP(J177,MGMT_RULE!$A:$G,7,FALSE),IFERROR(VLOOKUP(H177,RULE_MAIN!$A:$F,6,FALSE),IFERROR(VLOOKUP(I177,RULE_MAIN!$A:$F,6,FALSE),"관리자 확인"))))</x:f>
      </x:c>
      <x:c r="L177" s="5" t="str">
        <x:f>IF(A177="","",IF(K177="관리자 확인","DNC 차단",IF(ISNUMBER(SEARCH("후보",K177)),"관리자 확인",IFERROR(IF(MATCH(K177,PG_LIST!$A:$A,0)&gt;0,"DNC 가능","Program 파일 없음"),"Program 파일 없음"))))</x:f>
      </x:c>
      <x:c r="M177" s="6" t="str">
        <x:f>IF(A177="","",IF(COUNTIF(MGMT_RULE!$A:$A,J177)&gt;0,"관리번호 전용 RULE",IF(COUNTIF(RULE_MAIN!$A:$A,H177)&gt;0,"정확 RULE",IF(COUNTIF(RULE_MAIN!$A:$A,I177)&gt;0,"ANY RULE","확정 RULE 필요"))))</x:f>
      </x:c>
      <x:c r="N177" s="6" t="str">
        <x:f t="shared" si="22"/>
      </x:c>
      <x:c r="O177" s="6" t="str">
        <x:f t="shared" si="23"/>
      </x:c>
    </x:row>
    <x:row r="178">
      <x:c r="A178" s="2"/>
      <x:c r="B178" s="2"/>
      <x:c r="C178" s="2"/>
      <x:c r="D178" s="2"/>
      <x:c r="E178" s="3" t="str">
        <x:f t="shared" si="16"/>
      </x:c>
      <x:c r="F178" s="3" t="str">
        <x:f t="shared" si="17"/>
      </x:c>
      <x:c r="G178" s="3" t="str">
        <x:f t="shared" si="18"/>
        <x:v>OMS2 확인</x:v>
      </x:c>
      <x:c r="H178" s="3" t="str">
        <x:f t="shared" si="19"/>
      </x:c>
      <x:c r="I178" s="3" t="str">
        <x:f t="shared" si="20"/>
      </x:c>
      <x:c r="J178" s="3" t="str">
        <x:f t="shared" si="21"/>
      </x:c>
      <x:c r="K178" s="4" t="str">
        <x:f>IF(A178="","",IFERROR(VLOOKUP(J178,MGMT_RULE!$A:$G,7,FALSE),IFERROR(VLOOKUP(H178,RULE_MAIN!$A:$F,6,FALSE),IFERROR(VLOOKUP(I178,RULE_MAIN!$A:$F,6,FALSE),"관리자 확인"))))</x:f>
      </x:c>
      <x:c r="L178" s="5" t="str">
        <x:f>IF(A178="","",IF(K178="관리자 확인","DNC 차단",IF(ISNUMBER(SEARCH("후보",K178)),"관리자 확인",IFERROR(IF(MATCH(K178,PG_LIST!$A:$A,0)&gt;0,"DNC 가능","Program 파일 없음"),"Program 파일 없음"))))</x:f>
      </x:c>
      <x:c r="M178" s="6" t="str">
        <x:f>IF(A178="","",IF(COUNTIF(MGMT_RULE!$A:$A,J178)&gt;0,"관리번호 전용 RULE",IF(COUNTIF(RULE_MAIN!$A:$A,H178)&gt;0,"정확 RULE",IF(COUNTIF(RULE_MAIN!$A:$A,I178)&gt;0,"ANY RULE","확정 RULE 필요"))))</x:f>
      </x:c>
      <x:c r="N178" s="6" t="str">
        <x:f t="shared" si="22"/>
      </x:c>
      <x:c r="O178" s="6" t="str">
        <x:f t="shared" si="23"/>
      </x:c>
    </x:row>
    <x:row r="179">
      <x:c r="A179" s="2"/>
      <x:c r="B179" s="2"/>
      <x:c r="C179" s="2"/>
      <x:c r="D179" s="2"/>
      <x:c r="E179" s="3" t="str">
        <x:f t="shared" si="16"/>
      </x:c>
      <x:c r="F179" s="3" t="str">
        <x:f t="shared" si="17"/>
      </x:c>
      <x:c r="G179" s="3" t="str">
        <x:f t="shared" si="18"/>
        <x:v>OMS2 확인</x:v>
      </x:c>
      <x:c r="H179" s="3" t="str">
        <x:f t="shared" si="19"/>
      </x:c>
      <x:c r="I179" s="3" t="str">
        <x:f t="shared" si="20"/>
      </x:c>
      <x:c r="J179" s="3" t="str">
        <x:f t="shared" si="21"/>
      </x:c>
      <x:c r="K179" s="4" t="str">
        <x:f>IF(A179="","",IFERROR(VLOOKUP(J179,MGMT_RULE!$A:$G,7,FALSE),IFERROR(VLOOKUP(H179,RULE_MAIN!$A:$F,6,FALSE),IFERROR(VLOOKUP(I179,RULE_MAIN!$A:$F,6,FALSE),"관리자 확인"))))</x:f>
      </x:c>
      <x:c r="L179" s="5" t="str">
        <x:f>IF(A179="","",IF(K179="관리자 확인","DNC 차단",IF(ISNUMBER(SEARCH("후보",K179)),"관리자 확인",IFERROR(IF(MATCH(K179,PG_LIST!$A:$A,0)&gt;0,"DNC 가능","Program 파일 없음"),"Program 파일 없음"))))</x:f>
      </x:c>
      <x:c r="M179" s="6" t="str">
        <x:f>IF(A179="","",IF(COUNTIF(MGMT_RULE!$A:$A,J179)&gt;0,"관리번호 전용 RULE",IF(COUNTIF(RULE_MAIN!$A:$A,H179)&gt;0,"정확 RULE",IF(COUNTIF(RULE_MAIN!$A:$A,I179)&gt;0,"ANY RULE","확정 RULE 필요"))))</x:f>
      </x:c>
      <x:c r="N179" s="6" t="str">
        <x:f t="shared" si="22"/>
      </x:c>
      <x:c r="O179" s="6" t="str">
        <x:f t="shared" si="23"/>
      </x:c>
    </x:row>
    <x:row r="180">
      <x:c r="A180" s="2"/>
      <x:c r="B180" s="2"/>
      <x:c r="C180" s="2"/>
      <x:c r="D180" s="2"/>
      <x:c r="E180" s="3" t="str">
        <x:f t="shared" si="16"/>
      </x:c>
      <x:c r="F180" s="3" t="str">
        <x:f t="shared" si="17"/>
      </x:c>
      <x:c r="G180" s="3" t="str">
        <x:f t="shared" si="18"/>
        <x:v>OMS2 확인</x:v>
      </x:c>
      <x:c r="H180" s="3" t="str">
        <x:f t="shared" si="19"/>
      </x:c>
      <x:c r="I180" s="3" t="str">
        <x:f t="shared" si="20"/>
      </x:c>
      <x:c r="J180" s="3" t="str">
        <x:f t="shared" si="21"/>
      </x:c>
      <x:c r="K180" s="4" t="str">
        <x:f>IF(A180="","",IFERROR(VLOOKUP(J180,MGMT_RULE!$A:$G,7,FALSE),IFERROR(VLOOKUP(H180,RULE_MAIN!$A:$F,6,FALSE),IFERROR(VLOOKUP(I180,RULE_MAIN!$A:$F,6,FALSE),"관리자 확인"))))</x:f>
      </x:c>
      <x:c r="L180" s="5" t="str">
        <x:f>IF(A180="","",IF(K180="관리자 확인","DNC 차단",IF(ISNUMBER(SEARCH("후보",K180)),"관리자 확인",IFERROR(IF(MATCH(K180,PG_LIST!$A:$A,0)&gt;0,"DNC 가능","Program 파일 없음"),"Program 파일 없음"))))</x:f>
      </x:c>
      <x:c r="M180" s="6" t="str">
        <x:f>IF(A180="","",IF(COUNTIF(MGMT_RULE!$A:$A,J180)&gt;0,"관리번호 전용 RULE",IF(COUNTIF(RULE_MAIN!$A:$A,H180)&gt;0,"정확 RULE",IF(COUNTIF(RULE_MAIN!$A:$A,I180)&gt;0,"ANY RULE","확정 RULE 필요"))))</x:f>
      </x:c>
      <x:c r="N180" s="6" t="str">
        <x:f t="shared" si="22"/>
      </x:c>
      <x:c r="O180" s="6" t="str">
        <x:f t="shared" si="23"/>
      </x:c>
    </x:row>
    <x:row r="181">
      <x:c r="A181" s="2"/>
      <x:c r="B181" s="2"/>
      <x:c r="C181" s="2"/>
      <x:c r="D181" s="2"/>
      <x:c r="E181" s="3" t="str">
        <x:f t="shared" si="16"/>
      </x:c>
      <x:c r="F181" s="3" t="str">
        <x:f t="shared" si="17"/>
      </x:c>
      <x:c r="G181" s="3" t="str">
        <x:f t="shared" si="18"/>
        <x:v>OMS2 확인</x:v>
      </x:c>
      <x:c r="H181" s="3" t="str">
        <x:f t="shared" si="19"/>
      </x:c>
      <x:c r="I181" s="3" t="str">
        <x:f t="shared" si="20"/>
      </x:c>
      <x:c r="J181" s="3" t="str">
        <x:f t="shared" si="21"/>
      </x:c>
      <x:c r="K181" s="4" t="str">
        <x:f>IF(A181="","",IFERROR(VLOOKUP(J181,MGMT_RULE!$A:$G,7,FALSE),IFERROR(VLOOKUP(H181,RULE_MAIN!$A:$F,6,FALSE),IFERROR(VLOOKUP(I181,RULE_MAIN!$A:$F,6,FALSE),"관리자 확인"))))</x:f>
      </x:c>
      <x:c r="L181" s="5" t="str">
        <x:f>IF(A181="","",IF(K181="관리자 확인","DNC 차단",IF(ISNUMBER(SEARCH("후보",K181)),"관리자 확인",IFERROR(IF(MATCH(K181,PG_LIST!$A:$A,0)&gt;0,"DNC 가능","Program 파일 없음"),"Program 파일 없음"))))</x:f>
      </x:c>
      <x:c r="M181" s="6" t="str">
        <x:f>IF(A181="","",IF(COUNTIF(MGMT_RULE!$A:$A,J181)&gt;0,"관리번호 전용 RULE",IF(COUNTIF(RULE_MAIN!$A:$A,H181)&gt;0,"정확 RULE",IF(COUNTIF(RULE_MAIN!$A:$A,I181)&gt;0,"ANY RULE","확정 RULE 필요"))))</x:f>
      </x:c>
      <x:c r="N181" s="6" t="str">
        <x:f t="shared" si="22"/>
      </x:c>
      <x:c r="O181" s="6" t="str">
        <x:f t="shared" si="23"/>
      </x:c>
    </x:row>
    <x:row r="182">
      <x:c r="A182" s="2"/>
      <x:c r="B182" s="2"/>
      <x:c r="C182" s="2"/>
      <x:c r="D182" s="2"/>
      <x:c r="E182" s="3" t="str">
        <x:f t="shared" si="16"/>
      </x:c>
      <x:c r="F182" s="3" t="str">
        <x:f t="shared" si="17"/>
      </x:c>
      <x:c r="G182" s="3" t="str">
        <x:f t="shared" si="18"/>
        <x:v>OMS2 확인</x:v>
      </x:c>
      <x:c r="H182" s="3" t="str">
        <x:f t="shared" si="19"/>
      </x:c>
      <x:c r="I182" s="3" t="str">
        <x:f t="shared" si="20"/>
      </x:c>
      <x:c r="J182" s="3" t="str">
        <x:f t="shared" si="21"/>
      </x:c>
      <x:c r="K182" s="4" t="str">
        <x:f>IF(A182="","",IFERROR(VLOOKUP(J182,MGMT_RULE!$A:$G,7,FALSE),IFERROR(VLOOKUP(H182,RULE_MAIN!$A:$F,6,FALSE),IFERROR(VLOOKUP(I182,RULE_MAIN!$A:$F,6,FALSE),"관리자 확인"))))</x:f>
      </x:c>
      <x:c r="L182" s="5" t="str">
        <x:f>IF(A182="","",IF(K182="관리자 확인","DNC 차단",IF(ISNUMBER(SEARCH("후보",K182)),"관리자 확인",IFERROR(IF(MATCH(K182,PG_LIST!$A:$A,0)&gt;0,"DNC 가능","Program 파일 없음"),"Program 파일 없음"))))</x:f>
      </x:c>
      <x:c r="M182" s="6" t="str">
        <x:f>IF(A182="","",IF(COUNTIF(MGMT_RULE!$A:$A,J182)&gt;0,"관리번호 전용 RULE",IF(COUNTIF(RULE_MAIN!$A:$A,H182)&gt;0,"정확 RULE",IF(COUNTIF(RULE_MAIN!$A:$A,I182)&gt;0,"ANY RULE","확정 RULE 필요"))))</x:f>
      </x:c>
      <x:c r="N182" s="6" t="str">
        <x:f t="shared" si="22"/>
      </x:c>
      <x:c r="O182" s="6" t="str">
        <x:f t="shared" si="23"/>
      </x:c>
    </x:row>
    <x:row r="183">
      <x:c r="A183" s="2"/>
      <x:c r="B183" s="2"/>
      <x:c r="C183" s="2"/>
      <x:c r="D183" s="2"/>
      <x:c r="E183" s="3" t="str">
        <x:f t="shared" si="16"/>
      </x:c>
      <x:c r="F183" s="3" t="str">
        <x:f t="shared" si="17"/>
      </x:c>
      <x:c r="G183" s="3" t="str">
        <x:f t="shared" si="18"/>
        <x:v>OMS2 확인</x:v>
      </x:c>
      <x:c r="H183" s="3" t="str">
        <x:f t="shared" si="19"/>
      </x:c>
      <x:c r="I183" s="3" t="str">
        <x:f t="shared" si="20"/>
      </x:c>
      <x:c r="J183" s="3" t="str">
        <x:f t="shared" si="21"/>
      </x:c>
      <x:c r="K183" s="4" t="str">
        <x:f>IF(A183="","",IFERROR(VLOOKUP(J183,MGMT_RULE!$A:$G,7,FALSE),IFERROR(VLOOKUP(H183,RULE_MAIN!$A:$F,6,FALSE),IFERROR(VLOOKUP(I183,RULE_MAIN!$A:$F,6,FALSE),"관리자 확인"))))</x:f>
      </x:c>
      <x:c r="L183" s="5" t="str">
        <x:f>IF(A183="","",IF(K183="관리자 확인","DNC 차단",IF(ISNUMBER(SEARCH("후보",K183)),"관리자 확인",IFERROR(IF(MATCH(K183,PG_LIST!$A:$A,0)&gt;0,"DNC 가능","Program 파일 없음"),"Program 파일 없음"))))</x:f>
      </x:c>
      <x:c r="M183" s="6" t="str">
        <x:f>IF(A183="","",IF(COUNTIF(MGMT_RULE!$A:$A,J183)&gt;0,"관리번호 전용 RULE",IF(COUNTIF(RULE_MAIN!$A:$A,H183)&gt;0,"정확 RULE",IF(COUNTIF(RULE_MAIN!$A:$A,I183)&gt;0,"ANY RULE","확정 RULE 필요"))))</x:f>
      </x:c>
      <x:c r="N183" s="6" t="str">
        <x:f t="shared" si="22"/>
      </x:c>
      <x:c r="O183" s="6" t="str">
        <x:f t="shared" si="23"/>
      </x:c>
    </x:row>
    <x:row r="184">
      <x:c r="A184" s="2"/>
      <x:c r="B184" s="2"/>
      <x:c r="C184" s="2"/>
      <x:c r="D184" s="2"/>
      <x:c r="E184" s="3" t="str">
        <x:f t="shared" si="16"/>
      </x:c>
      <x:c r="F184" s="3" t="str">
        <x:f t="shared" si="17"/>
      </x:c>
      <x:c r="G184" s="3" t="str">
        <x:f t="shared" si="18"/>
        <x:v>OMS2 확인</x:v>
      </x:c>
      <x:c r="H184" s="3" t="str">
        <x:f t="shared" si="19"/>
      </x:c>
      <x:c r="I184" s="3" t="str">
        <x:f t="shared" si="20"/>
      </x:c>
      <x:c r="J184" s="3" t="str">
        <x:f t="shared" si="21"/>
      </x:c>
      <x:c r="K184" s="4" t="str">
        <x:f>IF(A184="","",IFERROR(VLOOKUP(J184,MGMT_RULE!$A:$G,7,FALSE),IFERROR(VLOOKUP(H184,RULE_MAIN!$A:$F,6,FALSE),IFERROR(VLOOKUP(I184,RULE_MAIN!$A:$F,6,FALSE),"관리자 확인"))))</x:f>
      </x:c>
      <x:c r="L184" s="5" t="str">
        <x:f>IF(A184="","",IF(K184="관리자 확인","DNC 차단",IF(ISNUMBER(SEARCH("후보",K184)),"관리자 확인",IFERROR(IF(MATCH(K184,PG_LIST!$A:$A,0)&gt;0,"DNC 가능","Program 파일 없음"),"Program 파일 없음"))))</x:f>
      </x:c>
      <x:c r="M184" s="6" t="str">
        <x:f>IF(A184="","",IF(COUNTIF(MGMT_RULE!$A:$A,J184)&gt;0,"관리번호 전용 RULE",IF(COUNTIF(RULE_MAIN!$A:$A,H184)&gt;0,"정확 RULE",IF(COUNTIF(RULE_MAIN!$A:$A,I184)&gt;0,"ANY RULE","확정 RULE 필요"))))</x:f>
      </x:c>
      <x:c r="N184" s="6" t="str">
        <x:f t="shared" si="22"/>
      </x:c>
      <x:c r="O184" s="6" t="str">
        <x:f t="shared" si="23"/>
      </x:c>
    </x:row>
    <x:row r="185">
      <x:c r="A185" s="2"/>
      <x:c r="B185" s="2"/>
      <x:c r="C185" s="2"/>
      <x:c r="D185" s="2"/>
      <x:c r="E185" s="3" t="str">
        <x:f t="shared" si="16"/>
      </x:c>
      <x:c r="F185" s="3" t="str">
        <x:f t="shared" si="17"/>
      </x:c>
      <x:c r="G185" s="3" t="str">
        <x:f t="shared" si="18"/>
        <x:v>OMS2 확인</x:v>
      </x:c>
      <x:c r="H185" s="3" t="str">
        <x:f t="shared" si="19"/>
      </x:c>
      <x:c r="I185" s="3" t="str">
        <x:f t="shared" si="20"/>
      </x:c>
      <x:c r="J185" s="3" t="str">
        <x:f t="shared" si="21"/>
      </x:c>
      <x:c r="K185" s="4" t="str">
        <x:f>IF(A185="","",IFERROR(VLOOKUP(J185,MGMT_RULE!$A:$G,7,FALSE),IFERROR(VLOOKUP(H185,RULE_MAIN!$A:$F,6,FALSE),IFERROR(VLOOKUP(I185,RULE_MAIN!$A:$F,6,FALSE),"관리자 확인"))))</x:f>
      </x:c>
      <x:c r="L185" s="5" t="str">
        <x:f>IF(A185="","",IF(K185="관리자 확인","DNC 차단",IF(ISNUMBER(SEARCH("후보",K185)),"관리자 확인",IFERROR(IF(MATCH(K185,PG_LIST!$A:$A,0)&gt;0,"DNC 가능","Program 파일 없음"),"Program 파일 없음"))))</x:f>
      </x:c>
      <x:c r="M185" s="6" t="str">
        <x:f>IF(A185="","",IF(COUNTIF(MGMT_RULE!$A:$A,J185)&gt;0,"관리번호 전용 RULE",IF(COUNTIF(RULE_MAIN!$A:$A,H185)&gt;0,"정확 RULE",IF(COUNTIF(RULE_MAIN!$A:$A,I185)&gt;0,"ANY RULE","확정 RULE 필요"))))</x:f>
      </x:c>
      <x:c r="N185" s="6" t="str">
        <x:f t="shared" si="22"/>
      </x:c>
      <x:c r="O185" s="6" t="str">
        <x:f t="shared" si="23"/>
      </x:c>
    </x:row>
    <x:row r="186">
      <x:c r="A186" s="2"/>
      <x:c r="B186" s="2"/>
      <x:c r="C186" s="2"/>
      <x:c r="D186" s="2"/>
      <x:c r="E186" s="3" t="str">
        <x:f t="shared" si="16"/>
      </x:c>
      <x:c r="F186" s="3" t="str">
        <x:f t="shared" si="17"/>
      </x:c>
      <x:c r="G186" s="3" t="str">
        <x:f t="shared" si="18"/>
        <x:v>OMS2 확인</x:v>
      </x:c>
      <x:c r="H186" s="3" t="str">
        <x:f t="shared" si="19"/>
      </x:c>
      <x:c r="I186" s="3" t="str">
        <x:f t="shared" si="20"/>
      </x:c>
      <x:c r="J186" s="3" t="str">
        <x:f t="shared" si="21"/>
      </x:c>
      <x:c r="K186" s="4" t="str">
        <x:f>IF(A186="","",IFERROR(VLOOKUP(J186,MGMT_RULE!$A:$G,7,FALSE),IFERROR(VLOOKUP(H186,RULE_MAIN!$A:$F,6,FALSE),IFERROR(VLOOKUP(I186,RULE_MAIN!$A:$F,6,FALSE),"관리자 확인"))))</x:f>
      </x:c>
      <x:c r="L186" s="5" t="str">
        <x:f>IF(A186="","",IF(K186="관리자 확인","DNC 차단",IF(ISNUMBER(SEARCH("후보",K186)),"관리자 확인",IFERROR(IF(MATCH(K186,PG_LIST!$A:$A,0)&gt;0,"DNC 가능","Program 파일 없음"),"Program 파일 없음"))))</x:f>
      </x:c>
      <x:c r="M186" s="6" t="str">
        <x:f>IF(A186="","",IF(COUNTIF(MGMT_RULE!$A:$A,J186)&gt;0,"관리번호 전용 RULE",IF(COUNTIF(RULE_MAIN!$A:$A,H186)&gt;0,"정확 RULE",IF(COUNTIF(RULE_MAIN!$A:$A,I186)&gt;0,"ANY RULE","확정 RULE 필요"))))</x:f>
      </x:c>
      <x:c r="N186" s="6" t="str">
        <x:f t="shared" si="22"/>
      </x:c>
      <x:c r="O186" s="6" t="str">
        <x:f t="shared" si="23"/>
      </x:c>
    </x:row>
    <x:row r="187">
      <x:c r="A187" s="2"/>
      <x:c r="B187" s="2"/>
      <x:c r="C187" s="2"/>
      <x:c r="D187" s="2"/>
      <x:c r="E187" s="3" t="str">
        <x:f t="shared" si="16"/>
      </x:c>
      <x:c r="F187" s="3" t="str">
        <x:f t="shared" si="17"/>
      </x:c>
      <x:c r="G187" s="3" t="str">
        <x:f t="shared" si="18"/>
        <x:v>OMS2 확인</x:v>
      </x:c>
      <x:c r="H187" s="3" t="str">
        <x:f t="shared" si="19"/>
      </x:c>
      <x:c r="I187" s="3" t="str">
        <x:f t="shared" si="20"/>
      </x:c>
      <x:c r="J187" s="3" t="str">
        <x:f t="shared" si="21"/>
      </x:c>
      <x:c r="K187" s="4" t="str">
        <x:f>IF(A187="","",IFERROR(VLOOKUP(J187,MGMT_RULE!$A:$G,7,FALSE),IFERROR(VLOOKUP(H187,RULE_MAIN!$A:$F,6,FALSE),IFERROR(VLOOKUP(I187,RULE_MAIN!$A:$F,6,FALSE),"관리자 확인"))))</x:f>
      </x:c>
      <x:c r="L187" s="5" t="str">
        <x:f>IF(A187="","",IF(K187="관리자 확인","DNC 차단",IF(ISNUMBER(SEARCH("후보",K187)),"관리자 확인",IFERROR(IF(MATCH(K187,PG_LIST!$A:$A,0)&gt;0,"DNC 가능","Program 파일 없음"),"Program 파일 없음"))))</x:f>
      </x:c>
      <x:c r="M187" s="6" t="str">
        <x:f>IF(A187="","",IF(COUNTIF(MGMT_RULE!$A:$A,J187)&gt;0,"관리번호 전용 RULE",IF(COUNTIF(RULE_MAIN!$A:$A,H187)&gt;0,"정확 RULE",IF(COUNTIF(RULE_MAIN!$A:$A,I187)&gt;0,"ANY RULE","확정 RULE 필요"))))</x:f>
      </x:c>
      <x:c r="N187" s="6" t="str">
        <x:f t="shared" si="22"/>
      </x:c>
      <x:c r="O187" s="6" t="str">
        <x:f t="shared" si="23"/>
      </x:c>
    </x:row>
    <x:row r="188">
      <x:c r="A188" s="2"/>
      <x:c r="B188" s="2"/>
      <x:c r="C188" s="2"/>
      <x:c r="D188" s="2"/>
      <x:c r="E188" s="3" t="str">
        <x:f t="shared" si="16"/>
      </x:c>
      <x:c r="F188" s="3" t="str">
        <x:f t="shared" si="17"/>
      </x:c>
      <x:c r="G188" s="3" t="str">
        <x:f t="shared" si="18"/>
        <x:v>OMS2 확인</x:v>
      </x:c>
      <x:c r="H188" s="3" t="str">
        <x:f t="shared" si="19"/>
      </x:c>
      <x:c r="I188" s="3" t="str">
        <x:f t="shared" si="20"/>
      </x:c>
      <x:c r="J188" s="3" t="str">
        <x:f t="shared" si="21"/>
      </x:c>
      <x:c r="K188" s="4" t="str">
        <x:f>IF(A188="","",IFERROR(VLOOKUP(J188,MGMT_RULE!$A:$G,7,FALSE),IFERROR(VLOOKUP(H188,RULE_MAIN!$A:$F,6,FALSE),IFERROR(VLOOKUP(I188,RULE_MAIN!$A:$F,6,FALSE),"관리자 확인"))))</x:f>
      </x:c>
      <x:c r="L188" s="5" t="str">
        <x:f>IF(A188="","",IF(K188="관리자 확인","DNC 차단",IF(ISNUMBER(SEARCH("후보",K188)),"관리자 확인",IFERROR(IF(MATCH(K188,PG_LIST!$A:$A,0)&gt;0,"DNC 가능","Program 파일 없음"),"Program 파일 없음"))))</x:f>
      </x:c>
      <x:c r="M188" s="6" t="str">
        <x:f>IF(A188="","",IF(COUNTIF(MGMT_RULE!$A:$A,J188)&gt;0,"관리번호 전용 RULE",IF(COUNTIF(RULE_MAIN!$A:$A,H188)&gt;0,"정확 RULE",IF(COUNTIF(RULE_MAIN!$A:$A,I188)&gt;0,"ANY RULE","확정 RULE 필요"))))</x:f>
      </x:c>
      <x:c r="N188" s="6" t="str">
        <x:f t="shared" si="22"/>
      </x:c>
      <x:c r="O188" s="6" t="str">
        <x:f t="shared" si="23"/>
      </x:c>
    </x:row>
    <x:row r="189">
      <x:c r="A189" s="2"/>
      <x:c r="B189" s="2"/>
      <x:c r="C189" s="2"/>
      <x:c r="D189" s="2"/>
      <x:c r="E189" s="3" t="str">
        <x:f t="shared" si="16"/>
      </x:c>
      <x:c r="F189" s="3" t="str">
        <x:f t="shared" si="17"/>
      </x:c>
      <x:c r="G189" s="3" t="str">
        <x:f t="shared" si="18"/>
        <x:v>OMS2 확인</x:v>
      </x:c>
      <x:c r="H189" s="3" t="str">
        <x:f t="shared" si="19"/>
      </x:c>
      <x:c r="I189" s="3" t="str">
        <x:f t="shared" si="20"/>
      </x:c>
      <x:c r="J189" s="3" t="str">
        <x:f t="shared" si="21"/>
      </x:c>
      <x:c r="K189" s="4" t="str">
        <x:f>IF(A189="","",IFERROR(VLOOKUP(J189,MGMT_RULE!$A:$G,7,FALSE),IFERROR(VLOOKUP(H189,RULE_MAIN!$A:$F,6,FALSE),IFERROR(VLOOKUP(I189,RULE_MAIN!$A:$F,6,FALSE),"관리자 확인"))))</x:f>
      </x:c>
      <x:c r="L189" s="5" t="str">
        <x:f>IF(A189="","",IF(K189="관리자 확인","DNC 차단",IF(ISNUMBER(SEARCH("후보",K189)),"관리자 확인",IFERROR(IF(MATCH(K189,PG_LIST!$A:$A,0)&gt;0,"DNC 가능","Program 파일 없음"),"Program 파일 없음"))))</x:f>
      </x:c>
      <x:c r="M189" s="6" t="str">
        <x:f>IF(A189="","",IF(COUNTIF(MGMT_RULE!$A:$A,J189)&gt;0,"관리번호 전용 RULE",IF(COUNTIF(RULE_MAIN!$A:$A,H189)&gt;0,"정확 RULE",IF(COUNTIF(RULE_MAIN!$A:$A,I189)&gt;0,"ANY RULE","확정 RULE 필요"))))</x:f>
      </x:c>
      <x:c r="N189" s="6" t="str">
        <x:f t="shared" si="22"/>
      </x:c>
      <x:c r="O189" s="6" t="str">
        <x:f t="shared" si="23"/>
      </x:c>
    </x:row>
    <x:row r="190">
      <x:c r="A190" s="2"/>
      <x:c r="B190" s="2"/>
      <x:c r="C190" s="2"/>
      <x:c r="D190" s="2"/>
      <x:c r="E190" s="3" t="str">
        <x:f t="shared" si="16"/>
      </x:c>
      <x:c r="F190" s="3" t="str">
        <x:f t="shared" si="17"/>
      </x:c>
      <x:c r="G190" s="3" t="str">
        <x:f t="shared" si="18"/>
        <x:v>OMS2 확인</x:v>
      </x:c>
      <x:c r="H190" s="3" t="str">
        <x:f t="shared" si="19"/>
      </x:c>
      <x:c r="I190" s="3" t="str">
        <x:f t="shared" si="20"/>
      </x:c>
      <x:c r="J190" s="3" t="str">
        <x:f t="shared" si="21"/>
      </x:c>
      <x:c r="K190" s="4" t="str">
        <x:f>IF(A190="","",IFERROR(VLOOKUP(J190,MGMT_RULE!$A:$G,7,FALSE),IFERROR(VLOOKUP(H190,RULE_MAIN!$A:$F,6,FALSE),IFERROR(VLOOKUP(I190,RULE_MAIN!$A:$F,6,FALSE),"관리자 확인"))))</x:f>
      </x:c>
      <x:c r="L190" s="5" t="str">
        <x:f>IF(A190="","",IF(K190="관리자 확인","DNC 차단",IF(ISNUMBER(SEARCH("후보",K190)),"관리자 확인",IFERROR(IF(MATCH(K190,PG_LIST!$A:$A,0)&gt;0,"DNC 가능","Program 파일 없음"),"Program 파일 없음"))))</x:f>
      </x:c>
      <x:c r="M190" s="6" t="str">
        <x:f>IF(A190="","",IF(COUNTIF(MGMT_RULE!$A:$A,J190)&gt;0,"관리번호 전용 RULE",IF(COUNTIF(RULE_MAIN!$A:$A,H190)&gt;0,"정확 RULE",IF(COUNTIF(RULE_MAIN!$A:$A,I190)&gt;0,"ANY RULE","확정 RULE 필요"))))</x:f>
      </x:c>
      <x:c r="N190" s="6" t="str">
        <x:f t="shared" si="22"/>
      </x:c>
      <x:c r="O190" s="6" t="str">
        <x:f t="shared" si="23"/>
      </x:c>
    </x:row>
    <x:row r="191">
      <x:c r="A191" s="2"/>
      <x:c r="B191" s="2"/>
      <x:c r="C191" s="2"/>
      <x:c r="D191" s="2"/>
      <x:c r="E191" s="3" t="str">
        <x:f t="shared" si="16"/>
      </x:c>
      <x:c r="F191" s="3" t="str">
        <x:f t="shared" si="17"/>
      </x:c>
      <x:c r="G191" s="3" t="str">
        <x:f t="shared" si="18"/>
        <x:v>OMS2 확인</x:v>
      </x:c>
      <x:c r="H191" s="3" t="str">
        <x:f t="shared" si="19"/>
      </x:c>
      <x:c r="I191" s="3" t="str">
        <x:f t="shared" si="20"/>
      </x:c>
      <x:c r="J191" s="3" t="str">
        <x:f t="shared" si="21"/>
      </x:c>
      <x:c r="K191" s="4" t="str">
        <x:f>IF(A191="","",IFERROR(VLOOKUP(J191,MGMT_RULE!$A:$G,7,FALSE),IFERROR(VLOOKUP(H191,RULE_MAIN!$A:$F,6,FALSE),IFERROR(VLOOKUP(I191,RULE_MAIN!$A:$F,6,FALSE),"관리자 확인"))))</x:f>
      </x:c>
      <x:c r="L191" s="5" t="str">
        <x:f>IF(A191="","",IF(K191="관리자 확인","DNC 차단",IF(ISNUMBER(SEARCH("후보",K191)),"관리자 확인",IFERROR(IF(MATCH(K191,PG_LIST!$A:$A,0)&gt;0,"DNC 가능","Program 파일 없음"),"Program 파일 없음"))))</x:f>
      </x:c>
      <x:c r="M191" s="6" t="str">
        <x:f>IF(A191="","",IF(COUNTIF(MGMT_RULE!$A:$A,J191)&gt;0,"관리번호 전용 RULE",IF(COUNTIF(RULE_MAIN!$A:$A,H191)&gt;0,"정확 RULE",IF(COUNTIF(RULE_MAIN!$A:$A,I191)&gt;0,"ANY RULE","확정 RULE 필요"))))</x:f>
      </x:c>
      <x:c r="N191" s="6" t="str">
        <x:f t="shared" si="22"/>
      </x:c>
      <x:c r="O191" s="6" t="str">
        <x:f t="shared" si="23"/>
      </x:c>
    </x:row>
    <x:row r="192">
      <x:c r="A192" s="2"/>
      <x:c r="B192" s="2"/>
      <x:c r="C192" s="2"/>
      <x:c r="D192" s="2"/>
      <x:c r="E192" s="3" t="str">
        <x:f t="shared" si="16"/>
      </x:c>
      <x:c r="F192" s="3" t="str">
        <x:f t="shared" si="17"/>
      </x:c>
      <x:c r="G192" s="3" t="str">
        <x:f t="shared" si="18"/>
        <x:v>OMS2 확인</x:v>
      </x:c>
      <x:c r="H192" s="3" t="str">
        <x:f t="shared" si="19"/>
      </x:c>
      <x:c r="I192" s="3" t="str">
        <x:f t="shared" si="20"/>
      </x:c>
      <x:c r="J192" s="3" t="str">
        <x:f t="shared" si="21"/>
      </x:c>
      <x:c r="K192" s="4" t="str">
        <x:f>IF(A192="","",IFERROR(VLOOKUP(J192,MGMT_RULE!$A:$G,7,FALSE),IFERROR(VLOOKUP(H192,RULE_MAIN!$A:$F,6,FALSE),IFERROR(VLOOKUP(I192,RULE_MAIN!$A:$F,6,FALSE),"관리자 확인"))))</x:f>
      </x:c>
      <x:c r="L192" s="5" t="str">
        <x:f>IF(A192="","",IF(K192="관리자 확인","DNC 차단",IF(ISNUMBER(SEARCH("후보",K192)),"관리자 확인",IFERROR(IF(MATCH(K192,PG_LIST!$A:$A,0)&gt;0,"DNC 가능","Program 파일 없음"),"Program 파일 없음"))))</x:f>
      </x:c>
      <x:c r="M192" s="6" t="str">
        <x:f>IF(A192="","",IF(COUNTIF(MGMT_RULE!$A:$A,J192)&gt;0,"관리번호 전용 RULE",IF(COUNTIF(RULE_MAIN!$A:$A,H192)&gt;0,"정확 RULE",IF(COUNTIF(RULE_MAIN!$A:$A,I192)&gt;0,"ANY RULE","확정 RULE 필요"))))</x:f>
      </x:c>
      <x:c r="N192" s="6" t="str">
        <x:f t="shared" si="22"/>
      </x:c>
      <x:c r="O192" s="6" t="str">
        <x:f t="shared" si="23"/>
      </x:c>
    </x:row>
    <x:row r="193">
      <x:c r="A193" s="2"/>
      <x:c r="B193" s="2"/>
      <x:c r="C193" s="2"/>
      <x:c r="D193" s="2"/>
      <x:c r="E193" s="3" t="str">
        <x:f t="shared" si="16"/>
      </x:c>
      <x:c r="F193" s="3" t="str">
        <x:f t="shared" si="17"/>
      </x:c>
      <x:c r="G193" s="3" t="str">
        <x:f t="shared" si="18"/>
        <x:v>OMS2 확인</x:v>
      </x:c>
      <x:c r="H193" s="3" t="str">
        <x:f t="shared" si="19"/>
      </x:c>
      <x:c r="I193" s="3" t="str">
        <x:f t="shared" si="20"/>
      </x:c>
      <x:c r="J193" s="3" t="str">
        <x:f t="shared" si="21"/>
      </x:c>
      <x:c r="K193" s="4" t="str">
        <x:f>IF(A193="","",IFERROR(VLOOKUP(J193,MGMT_RULE!$A:$G,7,FALSE),IFERROR(VLOOKUP(H193,RULE_MAIN!$A:$F,6,FALSE),IFERROR(VLOOKUP(I193,RULE_MAIN!$A:$F,6,FALSE),"관리자 확인"))))</x:f>
      </x:c>
      <x:c r="L193" s="5" t="str">
        <x:f>IF(A193="","",IF(K193="관리자 확인","DNC 차단",IF(ISNUMBER(SEARCH("후보",K193)),"관리자 확인",IFERROR(IF(MATCH(K193,PG_LIST!$A:$A,0)&gt;0,"DNC 가능","Program 파일 없음"),"Program 파일 없음"))))</x:f>
      </x:c>
      <x:c r="M193" s="6" t="str">
        <x:f>IF(A193="","",IF(COUNTIF(MGMT_RULE!$A:$A,J193)&gt;0,"관리번호 전용 RULE",IF(COUNTIF(RULE_MAIN!$A:$A,H193)&gt;0,"정확 RULE",IF(COUNTIF(RULE_MAIN!$A:$A,I193)&gt;0,"ANY RULE","확정 RULE 필요"))))</x:f>
      </x:c>
      <x:c r="N193" s="6" t="str">
        <x:f t="shared" si="22"/>
      </x:c>
      <x:c r="O193" s="6" t="str">
        <x:f t="shared" si="23"/>
      </x:c>
    </x:row>
    <x:row r="194">
      <x:c r="A194" s="2"/>
      <x:c r="B194" s="2"/>
      <x:c r="C194" s="2"/>
      <x:c r="D194" s="2"/>
      <x:c r="E194" s="3" t="str">
        <x:f t="shared" si="16"/>
      </x:c>
      <x:c r="F194" s="3" t="str">
        <x:f t="shared" si="17"/>
      </x:c>
      <x:c r="G194" s="3" t="str">
        <x:f t="shared" si="18"/>
        <x:v>OMS2 확인</x:v>
      </x:c>
      <x:c r="H194" s="3" t="str">
        <x:f t="shared" si="19"/>
      </x:c>
      <x:c r="I194" s="3" t="str">
        <x:f t="shared" si="20"/>
      </x:c>
      <x:c r="J194" s="3" t="str">
        <x:f t="shared" si="21"/>
      </x:c>
      <x:c r="K194" s="4" t="str">
        <x:f>IF(A194="","",IFERROR(VLOOKUP(J194,MGMT_RULE!$A:$G,7,FALSE),IFERROR(VLOOKUP(H194,RULE_MAIN!$A:$F,6,FALSE),IFERROR(VLOOKUP(I194,RULE_MAIN!$A:$F,6,FALSE),"관리자 확인"))))</x:f>
      </x:c>
      <x:c r="L194" s="5" t="str">
        <x:f>IF(A194="","",IF(K194="관리자 확인","DNC 차단",IF(ISNUMBER(SEARCH("후보",K194)),"관리자 확인",IFERROR(IF(MATCH(K194,PG_LIST!$A:$A,0)&gt;0,"DNC 가능","Program 파일 없음"),"Program 파일 없음"))))</x:f>
      </x:c>
      <x:c r="M194" s="6" t="str">
        <x:f>IF(A194="","",IF(COUNTIF(MGMT_RULE!$A:$A,J194)&gt;0,"관리번호 전용 RULE",IF(COUNTIF(RULE_MAIN!$A:$A,H194)&gt;0,"정확 RULE",IF(COUNTIF(RULE_MAIN!$A:$A,I194)&gt;0,"ANY RULE","확정 RULE 필요"))))</x:f>
      </x:c>
      <x:c r="N194" s="6" t="str">
        <x:f t="shared" si="22"/>
      </x:c>
      <x:c r="O194" s="6" t="str">
        <x:f t="shared" si="23"/>
      </x:c>
    </x:row>
    <x:row r="195">
      <x:c r="A195" s="2"/>
      <x:c r="B195" s="2"/>
      <x:c r="C195" s="2"/>
      <x:c r="D195" s="2"/>
      <x:c r="E195" s="3" t="str">
        <x:f t="shared" si="16"/>
      </x:c>
      <x:c r="F195" s="3" t="str">
        <x:f t="shared" si="17"/>
      </x:c>
      <x:c r="G195" s="3" t="str">
        <x:f t="shared" si="18"/>
        <x:v>OMS2 확인</x:v>
      </x:c>
      <x:c r="H195" s="3" t="str">
        <x:f t="shared" si="19"/>
      </x:c>
      <x:c r="I195" s="3" t="str">
        <x:f t="shared" si="20"/>
      </x:c>
      <x:c r="J195" s="3" t="str">
        <x:f t="shared" si="21"/>
      </x:c>
      <x:c r="K195" s="4" t="str">
        <x:f>IF(A195="","",IFERROR(VLOOKUP(J195,MGMT_RULE!$A:$G,7,FALSE),IFERROR(VLOOKUP(H195,RULE_MAIN!$A:$F,6,FALSE),IFERROR(VLOOKUP(I195,RULE_MAIN!$A:$F,6,FALSE),"관리자 확인"))))</x:f>
      </x:c>
      <x:c r="L195" s="5" t="str">
        <x:f>IF(A195="","",IF(K195="관리자 확인","DNC 차단",IF(ISNUMBER(SEARCH("후보",K195)),"관리자 확인",IFERROR(IF(MATCH(K195,PG_LIST!$A:$A,0)&gt;0,"DNC 가능","Program 파일 없음"),"Program 파일 없음"))))</x:f>
      </x:c>
      <x:c r="M195" s="6" t="str">
        <x:f>IF(A195="","",IF(COUNTIF(MGMT_RULE!$A:$A,J195)&gt;0,"관리번호 전용 RULE",IF(COUNTIF(RULE_MAIN!$A:$A,H195)&gt;0,"정확 RULE",IF(COUNTIF(RULE_MAIN!$A:$A,I195)&gt;0,"ANY RULE","확정 RULE 필요"))))</x:f>
      </x:c>
      <x:c r="N195" s="6" t="str">
        <x:f t="shared" si="22"/>
      </x:c>
      <x:c r="O195" s="6" t="str">
        <x:f t="shared" si="23"/>
      </x:c>
    </x:row>
    <x:row r="196">
      <x:c r="A196" s="2"/>
      <x:c r="B196" s="2"/>
      <x:c r="C196" s="2"/>
      <x:c r="D196" s="2"/>
      <x:c r="E196" s="3" t="str">
        <x:f t="shared" ref="E196:E259" si="24">IF(A196="","",LEFT(A196,3))</x:f>
      </x:c>
      <x:c r="F196" s="3" t="str">
        <x:f t="shared" ref="F196:F259" si="25">IF(C196="","",IF(ISNUMBER(SEARCH("415 516",C196)),"415-516",IF(ISNUMBER(SEARCH("415 515",C196)),"415-515",IF(ISNUMBER(SEARCH("413 513",C196)),"413-513",IF(ISNUMBER(SEARCH("411 512",C196)),"411-512","SIZE 확인")))))</x:f>
      </x:c>
      <x:c r="G196" s="3" t="str">
        <x:f t="shared" ref="G196:G259" si="26">IF(D196="","OMS2 확인",IF(OR(ISNUMBER(SEARCH("우측10",D196)),ISNUMBER(SEARCH("우측 10",D196))),"우측10mm",IF(ISNUMBER(SEARCH("방향홀",D196)),"방향홀",IF(ISNUMBER(SEARCH("후가공(2차)",D196)),"후가공(2차)",IF(ISNUMBER(SEARCH("후가공(1차)",D196)),"후가공(1차)",IF(ISNUMBER(SEARCH("센터",D196)),"CENTER",IF(ISNUMBER(SEARCH("SIZE 유의",D196)),"주의문구","OMS2 확인")))))))</x:f>
        <x:v>OMS2 확인</x:v>
      </x:c>
      <x:c r="H196" s="3" t="str">
        <x:f t="shared" ref="H196:H259" si="27">IF(A196="","",E196&amp;"|"&amp;B196&amp;"|"&amp;F196&amp;"|"&amp;G196)</x:f>
      </x:c>
      <x:c r="I196" s="3" t="str">
        <x:f t="shared" ref="I196:I259" si="28">IF(A196="","",E196&amp;"|"&amp;B196&amp;"|"&amp;F196&amp;"|ANY")</x:f>
      </x:c>
      <x:c r="J196" s="3" t="str">
        <x:f t="shared" ref="J196:J259" si="29">IF(A196="","",A196&amp;"|"&amp;B196&amp;"|"&amp;F196&amp;"|"&amp;G196)</x:f>
      </x:c>
      <x:c r="K196" s="4" t="str">
        <x:f>IF(A196="","",IFERROR(VLOOKUP(J196,MGMT_RULE!$A:$G,7,FALSE),IFERROR(VLOOKUP(H196,RULE_MAIN!$A:$F,6,FALSE),IFERROR(VLOOKUP(I196,RULE_MAIN!$A:$F,6,FALSE),"관리자 확인"))))</x:f>
      </x:c>
      <x:c r="L196" s="5" t="str">
        <x:f>IF(A196="","",IF(K196="관리자 확인","DNC 차단",IF(ISNUMBER(SEARCH("후보",K196)),"관리자 확인",IFERROR(IF(MATCH(K196,PG_LIST!$A:$A,0)&gt;0,"DNC 가능","Program 파일 없음"),"Program 파일 없음"))))</x:f>
      </x:c>
      <x:c r="M196" s="6" t="str">
        <x:f>IF(A196="","",IF(COUNTIF(MGMT_RULE!$A:$A,J196)&gt;0,"관리번호 전용 RULE",IF(COUNTIF(RULE_MAIN!$A:$A,H196)&gt;0,"정확 RULE",IF(COUNTIF(RULE_MAIN!$A:$A,I196)&gt;0,"ANY RULE","확정 RULE 필요"))))</x:f>
      </x:c>
      <x:c r="N196" s="6" t="str">
        <x:f t="shared" ref="N196:N259" si="30">IF(A196="","",IF(ISNUMBER(SEARCH("후보",K196)),"동일 조건 Program 후보 2개 이상",IF(K196="관리자 확인","조건 미등록","")))</x:f>
      </x:c>
      <x:c r="O196" s="6" t="str">
        <x:f t="shared" ref="O196:O259" si="31">IF(A196="","",IF(OR(F196="SIZE 확인",G196="OMS2 확인"),"OMS 문구 확인 필요",""))</x:f>
      </x:c>
    </x:row>
    <x:row r="197">
      <x:c r="A197" s="2"/>
      <x:c r="B197" s="2"/>
      <x:c r="C197" s="2"/>
      <x:c r="D197" s="2"/>
      <x:c r="E197" s="3" t="str">
        <x:f t="shared" si="24"/>
      </x:c>
      <x:c r="F197" s="3" t="str">
        <x:f t="shared" si="25"/>
      </x:c>
      <x:c r="G197" s="3" t="str">
        <x:f t="shared" si="26"/>
        <x:v>OMS2 확인</x:v>
      </x:c>
      <x:c r="H197" s="3" t="str">
        <x:f t="shared" si="27"/>
      </x:c>
      <x:c r="I197" s="3" t="str">
        <x:f t="shared" si="28"/>
      </x:c>
      <x:c r="J197" s="3" t="str">
        <x:f t="shared" si="29"/>
      </x:c>
      <x:c r="K197" s="4" t="str">
        <x:f>IF(A197="","",IFERROR(VLOOKUP(J197,MGMT_RULE!$A:$G,7,FALSE),IFERROR(VLOOKUP(H197,RULE_MAIN!$A:$F,6,FALSE),IFERROR(VLOOKUP(I197,RULE_MAIN!$A:$F,6,FALSE),"관리자 확인"))))</x:f>
      </x:c>
      <x:c r="L197" s="5" t="str">
        <x:f>IF(A197="","",IF(K197="관리자 확인","DNC 차단",IF(ISNUMBER(SEARCH("후보",K197)),"관리자 확인",IFERROR(IF(MATCH(K197,PG_LIST!$A:$A,0)&gt;0,"DNC 가능","Program 파일 없음"),"Program 파일 없음"))))</x:f>
      </x:c>
      <x:c r="M197" s="6" t="str">
        <x:f>IF(A197="","",IF(COUNTIF(MGMT_RULE!$A:$A,J197)&gt;0,"관리번호 전용 RULE",IF(COUNTIF(RULE_MAIN!$A:$A,H197)&gt;0,"정확 RULE",IF(COUNTIF(RULE_MAIN!$A:$A,I197)&gt;0,"ANY RULE","확정 RULE 필요"))))</x:f>
      </x:c>
      <x:c r="N197" s="6" t="str">
        <x:f t="shared" si="30"/>
      </x:c>
      <x:c r="O197" s="6" t="str">
        <x:f t="shared" si="31"/>
      </x:c>
    </x:row>
    <x:row r="198">
      <x:c r="A198" s="2"/>
      <x:c r="B198" s="2"/>
      <x:c r="C198" s="2"/>
      <x:c r="D198" s="2"/>
      <x:c r="E198" s="3" t="str">
        <x:f t="shared" si="24"/>
      </x:c>
      <x:c r="F198" s="3" t="str">
        <x:f t="shared" si="25"/>
      </x:c>
      <x:c r="G198" s="3" t="str">
        <x:f t="shared" si="26"/>
        <x:v>OMS2 확인</x:v>
      </x:c>
      <x:c r="H198" s="3" t="str">
        <x:f t="shared" si="27"/>
      </x:c>
      <x:c r="I198" s="3" t="str">
        <x:f t="shared" si="28"/>
      </x:c>
      <x:c r="J198" s="3" t="str">
        <x:f t="shared" si="29"/>
      </x:c>
      <x:c r="K198" s="4" t="str">
        <x:f>IF(A198="","",IFERROR(VLOOKUP(J198,MGMT_RULE!$A:$G,7,FALSE),IFERROR(VLOOKUP(H198,RULE_MAIN!$A:$F,6,FALSE),IFERROR(VLOOKUP(I198,RULE_MAIN!$A:$F,6,FALSE),"관리자 확인"))))</x:f>
      </x:c>
      <x:c r="L198" s="5" t="str">
        <x:f>IF(A198="","",IF(K198="관리자 확인","DNC 차단",IF(ISNUMBER(SEARCH("후보",K198)),"관리자 확인",IFERROR(IF(MATCH(K198,PG_LIST!$A:$A,0)&gt;0,"DNC 가능","Program 파일 없음"),"Program 파일 없음"))))</x:f>
      </x:c>
      <x:c r="M198" s="6" t="str">
        <x:f>IF(A198="","",IF(COUNTIF(MGMT_RULE!$A:$A,J198)&gt;0,"관리번호 전용 RULE",IF(COUNTIF(RULE_MAIN!$A:$A,H198)&gt;0,"정확 RULE",IF(COUNTIF(RULE_MAIN!$A:$A,I198)&gt;0,"ANY RULE","확정 RULE 필요"))))</x:f>
      </x:c>
      <x:c r="N198" s="6" t="str">
        <x:f t="shared" si="30"/>
      </x:c>
      <x:c r="O198" s="6" t="str">
        <x:f t="shared" si="31"/>
      </x:c>
    </x:row>
    <x:row r="199">
      <x:c r="A199" s="2"/>
      <x:c r="B199" s="2"/>
      <x:c r="C199" s="2"/>
      <x:c r="D199" s="2"/>
      <x:c r="E199" s="3" t="str">
        <x:f t="shared" si="24"/>
      </x:c>
      <x:c r="F199" s="3" t="str">
        <x:f t="shared" si="25"/>
      </x:c>
      <x:c r="G199" s="3" t="str">
        <x:f t="shared" si="26"/>
        <x:v>OMS2 확인</x:v>
      </x:c>
      <x:c r="H199" s="3" t="str">
        <x:f t="shared" si="27"/>
      </x:c>
      <x:c r="I199" s="3" t="str">
        <x:f t="shared" si="28"/>
      </x:c>
      <x:c r="J199" s="3" t="str">
        <x:f t="shared" si="29"/>
      </x:c>
      <x:c r="K199" s="4" t="str">
        <x:f>IF(A199="","",IFERROR(VLOOKUP(J199,MGMT_RULE!$A:$G,7,FALSE),IFERROR(VLOOKUP(H199,RULE_MAIN!$A:$F,6,FALSE),IFERROR(VLOOKUP(I199,RULE_MAIN!$A:$F,6,FALSE),"관리자 확인"))))</x:f>
      </x:c>
      <x:c r="L199" s="5" t="str">
        <x:f>IF(A199="","",IF(K199="관리자 확인","DNC 차단",IF(ISNUMBER(SEARCH("후보",K199)),"관리자 확인",IFERROR(IF(MATCH(K199,PG_LIST!$A:$A,0)&gt;0,"DNC 가능","Program 파일 없음"),"Program 파일 없음"))))</x:f>
      </x:c>
      <x:c r="M199" s="6" t="str">
        <x:f>IF(A199="","",IF(COUNTIF(MGMT_RULE!$A:$A,J199)&gt;0,"관리번호 전용 RULE",IF(COUNTIF(RULE_MAIN!$A:$A,H199)&gt;0,"정확 RULE",IF(COUNTIF(RULE_MAIN!$A:$A,I199)&gt;0,"ANY RULE","확정 RULE 필요"))))</x:f>
      </x:c>
      <x:c r="N199" s="6" t="str">
        <x:f t="shared" si="30"/>
      </x:c>
      <x:c r="O199" s="6" t="str">
        <x:f t="shared" si="31"/>
      </x:c>
    </x:row>
    <x:row r="200">
      <x:c r="A200" s="2"/>
      <x:c r="B200" s="2"/>
      <x:c r="C200" s="2"/>
      <x:c r="D200" s="2"/>
      <x:c r="E200" s="3" t="str">
        <x:f t="shared" si="24"/>
      </x:c>
      <x:c r="F200" s="3" t="str">
        <x:f t="shared" si="25"/>
      </x:c>
      <x:c r="G200" s="3" t="str">
        <x:f t="shared" si="26"/>
        <x:v>OMS2 확인</x:v>
      </x:c>
      <x:c r="H200" s="3" t="str">
        <x:f t="shared" si="27"/>
      </x:c>
      <x:c r="I200" s="3" t="str">
        <x:f t="shared" si="28"/>
      </x:c>
      <x:c r="J200" s="3" t="str">
        <x:f t="shared" si="29"/>
      </x:c>
      <x:c r="K200" s="4" t="str">
        <x:f>IF(A200="","",IFERROR(VLOOKUP(J200,MGMT_RULE!$A:$G,7,FALSE),IFERROR(VLOOKUP(H200,RULE_MAIN!$A:$F,6,FALSE),IFERROR(VLOOKUP(I200,RULE_MAIN!$A:$F,6,FALSE),"관리자 확인"))))</x:f>
      </x:c>
      <x:c r="L200" s="5" t="str">
        <x:f>IF(A200="","",IF(K200="관리자 확인","DNC 차단",IF(ISNUMBER(SEARCH("후보",K200)),"관리자 확인",IFERROR(IF(MATCH(K200,PG_LIST!$A:$A,0)&gt;0,"DNC 가능","Program 파일 없음"),"Program 파일 없음"))))</x:f>
      </x:c>
      <x:c r="M200" s="6" t="str">
        <x:f>IF(A200="","",IF(COUNTIF(MGMT_RULE!$A:$A,J200)&gt;0,"관리번호 전용 RULE",IF(COUNTIF(RULE_MAIN!$A:$A,H200)&gt;0,"정확 RULE",IF(COUNTIF(RULE_MAIN!$A:$A,I200)&gt;0,"ANY RULE","확정 RULE 필요"))))</x:f>
      </x:c>
      <x:c r="N200" s="6" t="str">
        <x:f t="shared" si="30"/>
      </x:c>
      <x:c r="O200" s="6" t="str">
        <x:f t="shared" si="31"/>
      </x:c>
    </x:row>
    <x:row r="201">
      <x:c r="A201" s="2"/>
      <x:c r="B201" s="2"/>
      <x:c r="C201" s="2"/>
      <x:c r="D201" s="2"/>
      <x:c r="E201" s="3" t="str">
        <x:f t="shared" si="24"/>
      </x:c>
      <x:c r="F201" s="3" t="str">
        <x:f t="shared" si="25"/>
      </x:c>
      <x:c r="G201" s="3" t="str">
        <x:f t="shared" si="26"/>
        <x:v>OMS2 확인</x:v>
      </x:c>
      <x:c r="H201" s="3" t="str">
        <x:f t="shared" si="27"/>
      </x:c>
      <x:c r="I201" s="3" t="str">
        <x:f t="shared" si="28"/>
      </x:c>
      <x:c r="J201" s="3" t="str">
        <x:f t="shared" si="29"/>
      </x:c>
      <x:c r="K201" s="4" t="str">
        <x:f>IF(A201="","",IFERROR(VLOOKUP(J201,MGMT_RULE!$A:$G,7,FALSE),IFERROR(VLOOKUP(H201,RULE_MAIN!$A:$F,6,FALSE),IFERROR(VLOOKUP(I201,RULE_MAIN!$A:$F,6,FALSE),"관리자 확인"))))</x:f>
      </x:c>
      <x:c r="L201" s="5" t="str">
        <x:f>IF(A201="","",IF(K201="관리자 확인","DNC 차단",IF(ISNUMBER(SEARCH("후보",K201)),"관리자 확인",IFERROR(IF(MATCH(K201,PG_LIST!$A:$A,0)&gt;0,"DNC 가능","Program 파일 없음"),"Program 파일 없음"))))</x:f>
      </x:c>
      <x:c r="M201" s="6" t="str">
        <x:f>IF(A201="","",IF(COUNTIF(MGMT_RULE!$A:$A,J201)&gt;0,"관리번호 전용 RULE",IF(COUNTIF(RULE_MAIN!$A:$A,H201)&gt;0,"정확 RULE",IF(COUNTIF(RULE_MAIN!$A:$A,I201)&gt;0,"ANY RULE","확정 RULE 필요"))))</x:f>
      </x:c>
      <x:c r="N201" s="6" t="str">
        <x:f t="shared" si="30"/>
      </x:c>
      <x:c r="O201" s="6" t="str">
        <x:f t="shared" si="31"/>
      </x:c>
    </x:row>
    <x:row r="202">
      <x:c r="A202" s="2"/>
      <x:c r="B202" s="2"/>
      <x:c r="C202" s="2"/>
      <x:c r="D202" s="2"/>
      <x:c r="E202" s="3" t="str">
        <x:f t="shared" si="24"/>
      </x:c>
      <x:c r="F202" s="3" t="str">
        <x:f t="shared" si="25"/>
      </x:c>
      <x:c r="G202" s="3" t="str">
        <x:f t="shared" si="26"/>
        <x:v>OMS2 확인</x:v>
      </x:c>
      <x:c r="H202" s="3" t="str">
        <x:f t="shared" si="27"/>
      </x:c>
      <x:c r="I202" s="3" t="str">
        <x:f t="shared" si="28"/>
      </x:c>
      <x:c r="J202" s="3" t="str">
        <x:f t="shared" si="29"/>
      </x:c>
      <x:c r="K202" s="4" t="str">
        <x:f>IF(A202="","",IFERROR(VLOOKUP(J202,MGMT_RULE!$A:$G,7,FALSE),IFERROR(VLOOKUP(H202,RULE_MAIN!$A:$F,6,FALSE),IFERROR(VLOOKUP(I202,RULE_MAIN!$A:$F,6,FALSE),"관리자 확인"))))</x:f>
      </x:c>
      <x:c r="L202" s="5" t="str">
        <x:f>IF(A202="","",IF(K202="관리자 확인","DNC 차단",IF(ISNUMBER(SEARCH("후보",K202)),"관리자 확인",IFERROR(IF(MATCH(K202,PG_LIST!$A:$A,0)&gt;0,"DNC 가능","Program 파일 없음"),"Program 파일 없음"))))</x:f>
      </x:c>
      <x:c r="M202" s="6" t="str">
        <x:f>IF(A202="","",IF(COUNTIF(MGMT_RULE!$A:$A,J202)&gt;0,"관리번호 전용 RULE",IF(COUNTIF(RULE_MAIN!$A:$A,H202)&gt;0,"정확 RULE",IF(COUNTIF(RULE_MAIN!$A:$A,I202)&gt;0,"ANY RULE","확정 RULE 필요"))))</x:f>
      </x:c>
      <x:c r="N202" s="6" t="str">
        <x:f t="shared" si="30"/>
      </x:c>
      <x:c r="O202" s="6" t="str">
        <x:f t="shared" si="31"/>
      </x:c>
    </x:row>
    <x:row r="203">
      <x:c r="A203" s="2"/>
      <x:c r="B203" s="2"/>
      <x:c r="C203" s="2"/>
      <x:c r="D203" s="2"/>
      <x:c r="E203" s="3" t="str">
        <x:f t="shared" si="24"/>
      </x:c>
      <x:c r="F203" s="3" t="str">
        <x:f t="shared" si="25"/>
      </x:c>
      <x:c r="G203" s="3" t="str">
        <x:f t="shared" si="26"/>
        <x:v>OMS2 확인</x:v>
      </x:c>
      <x:c r="H203" s="3" t="str">
        <x:f t="shared" si="27"/>
      </x:c>
      <x:c r="I203" s="3" t="str">
        <x:f t="shared" si="28"/>
      </x:c>
      <x:c r="J203" s="3" t="str">
        <x:f t="shared" si="29"/>
      </x:c>
      <x:c r="K203" s="4" t="str">
        <x:f>IF(A203="","",IFERROR(VLOOKUP(J203,MGMT_RULE!$A:$G,7,FALSE),IFERROR(VLOOKUP(H203,RULE_MAIN!$A:$F,6,FALSE),IFERROR(VLOOKUP(I203,RULE_MAIN!$A:$F,6,FALSE),"관리자 확인"))))</x:f>
      </x:c>
      <x:c r="L203" s="5" t="str">
        <x:f>IF(A203="","",IF(K203="관리자 확인","DNC 차단",IF(ISNUMBER(SEARCH("후보",K203)),"관리자 확인",IFERROR(IF(MATCH(K203,PG_LIST!$A:$A,0)&gt;0,"DNC 가능","Program 파일 없음"),"Program 파일 없음"))))</x:f>
      </x:c>
      <x:c r="M203" s="6" t="str">
        <x:f>IF(A203="","",IF(COUNTIF(MGMT_RULE!$A:$A,J203)&gt;0,"관리번호 전용 RULE",IF(COUNTIF(RULE_MAIN!$A:$A,H203)&gt;0,"정확 RULE",IF(COUNTIF(RULE_MAIN!$A:$A,I203)&gt;0,"ANY RULE","확정 RULE 필요"))))</x:f>
      </x:c>
      <x:c r="N203" s="6" t="str">
        <x:f t="shared" si="30"/>
      </x:c>
      <x:c r="O203" s="6" t="str">
        <x:f t="shared" si="31"/>
      </x:c>
    </x:row>
    <x:row r="204">
      <x:c r="A204" s="2"/>
      <x:c r="B204" s="2"/>
      <x:c r="C204" s="2"/>
      <x:c r="D204" s="2"/>
      <x:c r="E204" s="3" t="str">
        <x:f t="shared" si="24"/>
      </x:c>
      <x:c r="F204" s="3" t="str">
        <x:f t="shared" si="25"/>
      </x:c>
      <x:c r="G204" s="3" t="str">
        <x:f t="shared" si="26"/>
        <x:v>OMS2 확인</x:v>
      </x:c>
      <x:c r="H204" s="3" t="str">
        <x:f t="shared" si="27"/>
      </x:c>
      <x:c r="I204" s="3" t="str">
        <x:f t="shared" si="28"/>
      </x:c>
      <x:c r="J204" s="3" t="str">
        <x:f t="shared" si="29"/>
      </x:c>
      <x:c r="K204" s="4" t="str">
        <x:f>IF(A204="","",IFERROR(VLOOKUP(J204,MGMT_RULE!$A:$G,7,FALSE),IFERROR(VLOOKUP(H204,RULE_MAIN!$A:$F,6,FALSE),IFERROR(VLOOKUP(I204,RULE_MAIN!$A:$F,6,FALSE),"관리자 확인"))))</x:f>
      </x:c>
      <x:c r="L204" s="5" t="str">
        <x:f>IF(A204="","",IF(K204="관리자 확인","DNC 차단",IF(ISNUMBER(SEARCH("후보",K204)),"관리자 확인",IFERROR(IF(MATCH(K204,PG_LIST!$A:$A,0)&gt;0,"DNC 가능","Program 파일 없음"),"Program 파일 없음"))))</x:f>
      </x:c>
      <x:c r="M204" s="6" t="str">
        <x:f>IF(A204="","",IF(COUNTIF(MGMT_RULE!$A:$A,J204)&gt;0,"관리번호 전용 RULE",IF(COUNTIF(RULE_MAIN!$A:$A,H204)&gt;0,"정확 RULE",IF(COUNTIF(RULE_MAIN!$A:$A,I204)&gt;0,"ANY RULE","확정 RULE 필요"))))</x:f>
      </x:c>
      <x:c r="N204" s="6" t="str">
        <x:f t="shared" si="30"/>
      </x:c>
      <x:c r="O204" s="6" t="str">
        <x:f t="shared" si="31"/>
      </x:c>
    </x:row>
    <x:row r="205">
      <x:c r="A205" s="2"/>
      <x:c r="B205" s="2"/>
      <x:c r="C205" s="2"/>
      <x:c r="D205" s="2"/>
      <x:c r="E205" s="3" t="str">
        <x:f t="shared" si="24"/>
      </x:c>
      <x:c r="F205" s="3" t="str">
        <x:f t="shared" si="25"/>
      </x:c>
      <x:c r="G205" s="3" t="str">
        <x:f t="shared" si="26"/>
        <x:v>OMS2 확인</x:v>
      </x:c>
      <x:c r="H205" s="3" t="str">
        <x:f t="shared" si="27"/>
      </x:c>
      <x:c r="I205" s="3" t="str">
        <x:f t="shared" si="28"/>
      </x:c>
      <x:c r="J205" s="3" t="str">
        <x:f t="shared" si="29"/>
      </x:c>
      <x:c r="K205" s="4" t="str">
        <x:f>IF(A205="","",IFERROR(VLOOKUP(J205,MGMT_RULE!$A:$G,7,FALSE),IFERROR(VLOOKUP(H205,RULE_MAIN!$A:$F,6,FALSE),IFERROR(VLOOKUP(I205,RULE_MAIN!$A:$F,6,FALSE),"관리자 확인"))))</x:f>
      </x:c>
      <x:c r="L205" s="5" t="str">
        <x:f>IF(A205="","",IF(K205="관리자 확인","DNC 차단",IF(ISNUMBER(SEARCH("후보",K205)),"관리자 확인",IFERROR(IF(MATCH(K205,PG_LIST!$A:$A,0)&gt;0,"DNC 가능","Program 파일 없음"),"Program 파일 없음"))))</x:f>
      </x:c>
      <x:c r="M205" s="6" t="str">
        <x:f>IF(A205="","",IF(COUNTIF(MGMT_RULE!$A:$A,J205)&gt;0,"관리번호 전용 RULE",IF(COUNTIF(RULE_MAIN!$A:$A,H205)&gt;0,"정확 RULE",IF(COUNTIF(RULE_MAIN!$A:$A,I205)&gt;0,"ANY RULE","확정 RULE 필요"))))</x:f>
      </x:c>
      <x:c r="N205" s="6" t="str">
        <x:f t="shared" si="30"/>
      </x:c>
      <x:c r="O205" s="6" t="str">
        <x:f t="shared" si="31"/>
      </x:c>
    </x:row>
    <x:row r="206">
      <x:c r="A206" s="2"/>
      <x:c r="B206" s="2"/>
      <x:c r="C206" s="2"/>
      <x:c r="D206" s="2"/>
      <x:c r="E206" s="3" t="str">
        <x:f t="shared" si="24"/>
      </x:c>
      <x:c r="F206" s="3" t="str">
        <x:f t="shared" si="25"/>
      </x:c>
      <x:c r="G206" s="3" t="str">
        <x:f t="shared" si="26"/>
        <x:v>OMS2 확인</x:v>
      </x:c>
      <x:c r="H206" s="3" t="str">
        <x:f t="shared" si="27"/>
      </x:c>
      <x:c r="I206" s="3" t="str">
        <x:f t="shared" si="28"/>
      </x:c>
      <x:c r="J206" s="3" t="str">
        <x:f t="shared" si="29"/>
      </x:c>
      <x:c r="K206" s="4" t="str">
        <x:f>IF(A206="","",IFERROR(VLOOKUP(J206,MGMT_RULE!$A:$G,7,FALSE),IFERROR(VLOOKUP(H206,RULE_MAIN!$A:$F,6,FALSE),IFERROR(VLOOKUP(I206,RULE_MAIN!$A:$F,6,FALSE),"관리자 확인"))))</x:f>
      </x:c>
      <x:c r="L206" s="5" t="str">
        <x:f>IF(A206="","",IF(K206="관리자 확인","DNC 차단",IF(ISNUMBER(SEARCH("후보",K206)),"관리자 확인",IFERROR(IF(MATCH(K206,PG_LIST!$A:$A,0)&gt;0,"DNC 가능","Program 파일 없음"),"Program 파일 없음"))))</x:f>
      </x:c>
      <x:c r="M206" s="6" t="str">
        <x:f>IF(A206="","",IF(COUNTIF(MGMT_RULE!$A:$A,J206)&gt;0,"관리번호 전용 RULE",IF(COUNTIF(RULE_MAIN!$A:$A,H206)&gt;0,"정확 RULE",IF(COUNTIF(RULE_MAIN!$A:$A,I206)&gt;0,"ANY RULE","확정 RULE 필요"))))</x:f>
      </x:c>
      <x:c r="N206" s="6" t="str">
        <x:f t="shared" si="30"/>
      </x:c>
      <x:c r="O206" s="6" t="str">
        <x:f t="shared" si="31"/>
      </x:c>
    </x:row>
    <x:row r="207">
      <x:c r="A207" s="2"/>
      <x:c r="B207" s="2"/>
      <x:c r="C207" s="2"/>
      <x:c r="D207" s="2"/>
      <x:c r="E207" s="3" t="str">
        <x:f t="shared" si="24"/>
      </x:c>
      <x:c r="F207" s="3" t="str">
        <x:f t="shared" si="25"/>
      </x:c>
      <x:c r="G207" s="3" t="str">
        <x:f t="shared" si="26"/>
        <x:v>OMS2 확인</x:v>
      </x:c>
      <x:c r="H207" s="3" t="str">
        <x:f t="shared" si="27"/>
      </x:c>
      <x:c r="I207" s="3" t="str">
        <x:f t="shared" si="28"/>
      </x:c>
      <x:c r="J207" s="3" t="str">
        <x:f t="shared" si="29"/>
      </x:c>
      <x:c r="K207" s="4" t="str">
        <x:f>IF(A207="","",IFERROR(VLOOKUP(J207,MGMT_RULE!$A:$G,7,FALSE),IFERROR(VLOOKUP(H207,RULE_MAIN!$A:$F,6,FALSE),IFERROR(VLOOKUP(I207,RULE_MAIN!$A:$F,6,FALSE),"관리자 확인"))))</x:f>
      </x:c>
      <x:c r="L207" s="5" t="str">
        <x:f>IF(A207="","",IF(K207="관리자 확인","DNC 차단",IF(ISNUMBER(SEARCH("후보",K207)),"관리자 확인",IFERROR(IF(MATCH(K207,PG_LIST!$A:$A,0)&gt;0,"DNC 가능","Program 파일 없음"),"Program 파일 없음"))))</x:f>
      </x:c>
      <x:c r="M207" s="6" t="str">
        <x:f>IF(A207="","",IF(COUNTIF(MGMT_RULE!$A:$A,J207)&gt;0,"관리번호 전용 RULE",IF(COUNTIF(RULE_MAIN!$A:$A,H207)&gt;0,"정확 RULE",IF(COUNTIF(RULE_MAIN!$A:$A,I207)&gt;0,"ANY RULE","확정 RULE 필요"))))</x:f>
      </x:c>
      <x:c r="N207" s="6" t="str">
        <x:f t="shared" si="30"/>
      </x:c>
      <x:c r="O207" s="6" t="str">
        <x:f t="shared" si="31"/>
      </x:c>
    </x:row>
    <x:row r="208">
      <x:c r="A208" s="2"/>
      <x:c r="B208" s="2"/>
      <x:c r="C208" s="2"/>
      <x:c r="D208" s="2"/>
      <x:c r="E208" s="3" t="str">
        <x:f t="shared" si="24"/>
      </x:c>
      <x:c r="F208" s="3" t="str">
        <x:f t="shared" si="25"/>
      </x:c>
      <x:c r="G208" s="3" t="str">
        <x:f t="shared" si="26"/>
        <x:v>OMS2 확인</x:v>
      </x:c>
      <x:c r="H208" s="3" t="str">
        <x:f t="shared" si="27"/>
      </x:c>
      <x:c r="I208" s="3" t="str">
        <x:f t="shared" si="28"/>
      </x:c>
      <x:c r="J208" s="3" t="str">
        <x:f t="shared" si="29"/>
      </x:c>
      <x:c r="K208" s="4" t="str">
        <x:f>IF(A208="","",IFERROR(VLOOKUP(J208,MGMT_RULE!$A:$G,7,FALSE),IFERROR(VLOOKUP(H208,RULE_MAIN!$A:$F,6,FALSE),IFERROR(VLOOKUP(I208,RULE_MAIN!$A:$F,6,FALSE),"관리자 확인"))))</x:f>
      </x:c>
      <x:c r="L208" s="5" t="str">
        <x:f>IF(A208="","",IF(K208="관리자 확인","DNC 차단",IF(ISNUMBER(SEARCH("후보",K208)),"관리자 확인",IFERROR(IF(MATCH(K208,PG_LIST!$A:$A,0)&gt;0,"DNC 가능","Program 파일 없음"),"Program 파일 없음"))))</x:f>
      </x:c>
      <x:c r="M208" s="6" t="str">
        <x:f>IF(A208="","",IF(COUNTIF(MGMT_RULE!$A:$A,J208)&gt;0,"관리번호 전용 RULE",IF(COUNTIF(RULE_MAIN!$A:$A,H208)&gt;0,"정확 RULE",IF(COUNTIF(RULE_MAIN!$A:$A,I208)&gt;0,"ANY RULE","확정 RULE 필요"))))</x:f>
      </x:c>
      <x:c r="N208" s="6" t="str">
        <x:f t="shared" si="30"/>
      </x:c>
      <x:c r="O208" s="6" t="str">
        <x:f t="shared" si="31"/>
      </x:c>
    </x:row>
    <x:row r="209">
      <x:c r="A209" s="2"/>
      <x:c r="B209" s="2"/>
      <x:c r="C209" s="2"/>
      <x:c r="D209" s="2"/>
      <x:c r="E209" s="3" t="str">
        <x:f t="shared" si="24"/>
      </x:c>
      <x:c r="F209" s="3" t="str">
        <x:f t="shared" si="25"/>
      </x:c>
      <x:c r="G209" s="3" t="str">
        <x:f t="shared" si="26"/>
        <x:v>OMS2 확인</x:v>
      </x:c>
      <x:c r="H209" s="3" t="str">
        <x:f t="shared" si="27"/>
      </x:c>
      <x:c r="I209" s="3" t="str">
        <x:f t="shared" si="28"/>
      </x:c>
      <x:c r="J209" s="3" t="str">
        <x:f t="shared" si="29"/>
      </x:c>
      <x:c r="K209" s="4" t="str">
        <x:f>IF(A209="","",IFERROR(VLOOKUP(J209,MGMT_RULE!$A:$G,7,FALSE),IFERROR(VLOOKUP(H209,RULE_MAIN!$A:$F,6,FALSE),IFERROR(VLOOKUP(I209,RULE_MAIN!$A:$F,6,FALSE),"관리자 확인"))))</x:f>
      </x:c>
      <x:c r="L209" s="5" t="str">
        <x:f>IF(A209="","",IF(K209="관리자 확인","DNC 차단",IF(ISNUMBER(SEARCH("후보",K209)),"관리자 확인",IFERROR(IF(MATCH(K209,PG_LIST!$A:$A,0)&gt;0,"DNC 가능","Program 파일 없음"),"Program 파일 없음"))))</x:f>
      </x:c>
      <x:c r="M209" s="6" t="str">
        <x:f>IF(A209="","",IF(COUNTIF(MGMT_RULE!$A:$A,J209)&gt;0,"관리번호 전용 RULE",IF(COUNTIF(RULE_MAIN!$A:$A,H209)&gt;0,"정확 RULE",IF(COUNTIF(RULE_MAIN!$A:$A,I209)&gt;0,"ANY RULE","확정 RULE 필요"))))</x:f>
      </x:c>
      <x:c r="N209" s="6" t="str">
        <x:f t="shared" si="30"/>
      </x:c>
      <x:c r="O209" s="6" t="str">
        <x:f t="shared" si="31"/>
      </x:c>
    </x:row>
    <x:row r="210">
      <x:c r="A210" s="2"/>
      <x:c r="B210" s="2"/>
      <x:c r="C210" s="2"/>
      <x:c r="D210" s="2"/>
      <x:c r="E210" s="3" t="str">
        <x:f t="shared" si="24"/>
      </x:c>
      <x:c r="F210" s="3" t="str">
        <x:f t="shared" si="25"/>
      </x:c>
      <x:c r="G210" s="3" t="str">
        <x:f t="shared" si="26"/>
        <x:v>OMS2 확인</x:v>
      </x:c>
      <x:c r="H210" s="3" t="str">
        <x:f t="shared" si="27"/>
      </x:c>
      <x:c r="I210" s="3" t="str">
        <x:f t="shared" si="28"/>
      </x:c>
      <x:c r="J210" s="3" t="str">
        <x:f t="shared" si="29"/>
      </x:c>
      <x:c r="K210" s="4" t="str">
        <x:f>IF(A210="","",IFERROR(VLOOKUP(J210,MGMT_RULE!$A:$G,7,FALSE),IFERROR(VLOOKUP(H210,RULE_MAIN!$A:$F,6,FALSE),IFERROR(VLOOKUP(I210,RULE_MAIN!$A:$F,6,FALSE),"관리자 확인"))))</x:f>
      </x:c>
      <x:c r="L210" s="5" t="str">
        <x:f>IF(A210="","",IF(K210="관리자 확인","DNC 차단",IF(ISNUMBER(SEARCH("후보",K210)),"관리자 확인",IFERROR(IF(MATCH(K210,PG_LIST!$A:$A,0)&gt;0,"DNC 가능","Program 파일 없음"),"Program 파일 없음"))))</x:f>
      </x:c>
      <x:c r="M210" s="6" t="str">
        <x:f>IF(A210="","",IF(COUNTIF(MGMT_RULE!$A:$A,J210)&gt;0,"관리번호 전용 RULE",IF(COUNTIF(RULE_MAIN!$A:$A,H210)&gt;0,"정확 RULE",IF(COUNTIF(RULE_MAIN!$A:$A,I210)&gt;0,"ANY RULE","확정 RULE 필요"))))</x:f>
      </x:c>
      <x:c r="N210" s="6" t="str">
        <x:f t="shared" si="30"/>
      </x:c>
      <x:c r="O210" s="6" t="str">
        <x:f t="shared" si="31"/>
      </x:c>
    </x:row>
    <x:row r="211">
      <x:c r="A211" s="2"/>
      <x:c r="B211" s="2"/>
      <x:c r="C211" s="2"/>
      <x:c r="D211" s="2"/>
      <x:c r="E211" s="3" t="str">
        <x:f t="shared" si="24"/>
      </x:c>
      <x:c r="F211" s="3" t="str">
        <x:f t="shared" si="25"/>
      </x:c>
      <x:c r="G211" s="3" t="str">
        <x:f t="shared" si="26"/>
        <x:v>OMS2 확인</x:v>
      </x:c>
      <x:c r="H211" s="3" t="str">
        <x:f t="shared" si="27"/>
      </x:c>
      <x:c r="I211" s="3" t="str">
        <x:f t="shared" si="28"/>
      </x:c>
      <x:c r="J211" s="3" t="str">
        <x:f t="shared" si="29"/>
      </x:c>
      <x:c r="K211" s="4" t="str">
        <x:f>IF(A211="","",IFERROR(VLOOKUP(J211,MGMT_RULE!$A:$G,7,FALSE),IFERROR(VLOOKUP(H211,RULE_MAIN!$A:$F,6,FALSE),IFERROR(VLOOKUP(I211,RULE_MAIN!$A:$F,6,FALSE),"관리자 확인"))))</x:f>
      </x:c>
      <x:c r="L211" s="5" t="str">
        <x:f>IF(A211="","",IF(K211="관리자 확인","DNC 차단",IF(ISNUMBER(SEARCH("후보",K211)),"관리자 확인",IFERROR(IF(MATCH(K211,PG_LIST!$A:$A,0)&gt;0,"DNC 가능","Program 파일 없음"),"Program 파일 없음"))))</x:f>
      </x:c>
      <x:c r="M211" s="6" t="str">
        <x:f>IF(A211="","",IF(COUNTIF(MGMT_RULE!$A:$A,J211)&gt;0,"관리번호 전용 RULE",IF(COUNTIF(RULE_MAIN!$A:$A,H211)&gt;0,"정확 RULE",IF(COUNTIF(RULE_MAIN!$A:$A,I211)&gt;0,"ANY RULE","확정 RULE 필요"))))</x:f>
      </x:c>
      <x:c r="N211" s="6" t="str">
        <x:f t="shared" si="30"/>
      </x:c>
      <x:c r="O211" s="6" t="str">
        <x:f t="shared" si="31"/>
      </x:c>
    </x:row>
    <x:row r="212">
      <x:c r="A212" s="2"/>
      <x:c r="B212" s="2"/>
      <x:c r="C212" s="2"/>
      <x:c r="D212" s="2"/>
      <x:c r="E212" s="3" t="str">
        <x:f t="shared" si="24"/>
      </x:c>
      <x:c r="F212" s="3" t="str">
        <x:f t="shared" si="25"/>
      </x:c>
      <x:c r="G212" s="3" t="str">
        <x:f t="shared" si="26"/>
        <x:v>OMS2 확인</x:v>
      </x:c>
      <x:c r="H212" s="3" t="str">
        <x:f t="shared" si="27"/>
      </x:c>
      <x:c r="I212" s="3" t="str">
        <x:f t="shared" si="28"/>
      </x:c>
      <x:c r="J212" s="3" t="str">
        <x:f t="shared" si="29"/>
      </x:c>
      <x:c r="K212" s="4" t="str">
        <x:f>IF(A212="","",IFERROR(VLOOKUP(J212,MGMT_RULE!$A:$G,7,FALSE),IFERROR(VLOOKUP(H212,RULE_MAIN!$A:$F,6,FALSE),IFERROR(VLOOKUP(I212,RULE_MAIN!$A:$F,6,FALSE),"관리자 확인"))))</x:f>
      </x:c>
      <x:c r="L212" s="5" t="str">
        <x:f>IF(A212="","",IF(K212="관리자 확인","DNC 차단",IF(ISNUMBER(SEARCH("후보",K212)),"관리자 확인",IFERROR(IF(MATCH(K212,PG_LIST!$A:$A,0)&gt;0,"DNC 가능","Program 파일 없음"),"Program 파일 없음"))))</x:f>
      </x:c>
      <x:c r="M212" s="6" t="str">
        <x:f>IF(A212="","",IF(COUNTIF(MGMT_RULE!$A:$A,J212)&gt;0,"관리번호 전용 RULE",IF(COUNTIF(RULE_MAIN!$A:$A,H212)&gt;0,"정확 RULE",IF(COUNTIF(RULE_MAIN!$A:$A,I212)&gt;0,"ANY RULE","확정 RULE 필요"))))</x:f>
      </x:c>
      <x:c r="N212" s="6" t="str">
        <x:f t="shared" si="30"/>
      </x:c>
      <x:c r="O212" s="6" t="str">
        <x:f t="shared" si="31"/>
      </x:c>
    </x:row>
    <x:row r="213">
      <x:c r="A213" s="2"/>
      <x:c r="B213" s="2"/>
      <x:c r="C213" s="2"/>
      <x:c r="D213" s="2"/>
      <x:c r="E213" s="3" t="str">
        <x:f t="shared" si="24"/>
      </x:c>
      <x:c r="F213" s="3" t="str">
        <x:f t="shared" si="25"/>
      </x:c>
      <x:c r="G213" s="3" t="str">
        <x:f t="shared" si="26"/>
        <x:v>OMS2 확인</x:v>
      </x:c>
      <x:c r="H213" s="3" t="str">
        <x:f t="shared" si="27"/>
      </x:c>
      <x:c r="I213" s="3" t="str">
        <x:f t="shared" si="28"/>
      </x:c>
      <x:c r="J213" s="3" t="str">
        <x:f t="shared" si="29"/>
      </x:c>
      <x:c r="K213" s="4" t="str">
        <x:f>IF(A213="","",IFERROR(VLOOKUP(J213,MGMT_RULE!$A:$G,7,FALSE),IFERROR(VLOOKUP(H213,RULE_MAIN!$A:$F,6,FALSE),IFERROR(VLOOKUP(I213,RULE_MAIN!$A:$F,6,FALSE),"관리자 확인"))))</x:f>
      </x:c>
      <x:c r="L213" s="5" t="str">
        <x:f>IF(A213="","",IF(K213="관리자 확인","DNC 차단",IF(ISNUMBER(SEARCH("후보",K213)),"관리자 확인",IFERROR(IF(MATCH(K213,PG_LIST!$A:$A,0)&gt;0,"DNC 가능","Program 파일 없음"),"Program 파일 없음"))))</x:f>
      </x:c>
      <x:c r="M213" s="6" t="str">
        <x:f>IF(A213="","",IF(COUNTIF(MGMT_RULE!$A:$A,J213)&gt;0,"관리번호 전용 RULE",IF(COUNTIF(RULE_MAIN!$A:$A,H213)&gt;0,"정확 RULE",IF(COUNTIF(RULE_MAIN!$A:$A,I213)&gt;0,"ANY RULE","확정 RULE 필요"))))</x:f>
      </x:c>
      <x:c r="N213" s="6" t="str">
        <x:f t="shared" si="30"/>
      </x:c>
      <x:c r="O213" s="6" t="str">
        <x:f t="shared" si="31"/>
      </x:c>
    </x:row>
    <x:row r="214">
      <x:c r="A214" s="2"/>
      <x:c r="B214" s="2"/>
      <x:c r="C214" s="2"/>
      <x:c r="D214" s="2"/>
      <x:c r="E214" s="3" t="str">
        <x:f t="shared" si="24"/>
      </x:c>
      <x:c r="F214" s="3" t="str">
        <x:f t="shared" si="25"/>
      </x:c>
      <x:c r="G214" s="3" t="str">
        <x:f t="shared" si="26"/>
        <x:v>OMS2 확인</x:v>
      </x:c>
      <x:c r="H214" s="3" t="str">
        <x:f t="shared" si="27"/>
      </x:c>
      <x:c r="I214" s="3" t="str">
        <x:f t="shared" si="28"/>
      </x:c>
      <x:c r="J214" s="3" t="str">
        <x:f t="shared" si="29"/>
      </x:c>
      <x:c r="K214" s="4" t="str">
        <x:f>IF(A214="","",IFERROR(VLOOKUP(J214,MGMT_RULE!$A:$G,7,FALSE),IFERROR(VLOOKUP(H214,RULE_MAIN!$A:$F,6,FALSE),IFERROR(VLOOKUP(I214,RULE_MAIN!$A:$F,6,FALSE),"관리자 확인"))))</x:f>
      </x:c>
      <x:c r="L214" s="5" t="str">
        <x:f>IF(A214="","",IF(K214="관리자 확인","DNC 차단",IF(ISNUMBER(SEARCH("후보",K214)),"관리자 확인",IFERROR(IF(MATCH(K214,PG_LIST!$A:$A,0)&gt;0,"DNC 가능","Program 파일 없음"),"Program 파일 없음"))))</x:f>
      </x:c>
      <x:c r="M214" s="6" t="str">
        <x:f>IF(A214="","",IF(COUNTIF(MGMT_RULE!$A:$A,J214)&gt;0,"관리번호 전용 RULE",IF(COUNTIF(RULE_MAIN!$A:$A,H214)&gt;0,"정확 RULE",IF(COUNTIF(RULE_MAIN!$A:$A,I214)&gt;0,"ANY RULE","확정 RULE 필요"))))</x:f>
      </x:c>
      <x:c r="N214" s="6" t="str">
        <x:f t="shared" si="30"/>
      </x:c>
      <x:c r="O214" s="6" t="str">
        <x:f t="shared" si="31"/>
      </x:c>
    </x:row>
    <x:row r="215">
      <x:c r="A215" s="2"/>
      <x:c r="B215" s="2"/>
      <x:c r="C215" s="2"/>
      <x:c r="D215" s="2"/>
      <x:c r="E215" s="3" t="str">
        <x:f t="shared" si="24"/>
      </x:c>
      <x:c r="F215" s="3" t="str">
        <x:f t="shared" si="25"/>
      </x:c>
      <x:c r="G215" s="3" t="str">
        <x:f t="shared" si="26"/>
        <x:v>OMS2 확인</x:v>
      </x:c>
      <x:c r="H215" s="3" t="str">
        <x:f t="shared" si="27"/>
      </x:c>
      <x:c r="I215" s="3" t="str">
        <x:f t="shared" si="28"/>
      </x:c>
      <x:c r="J215" s="3" t="str">
        <x:f t="shared" si="29"/>
      </x:c>
      <x:c r="K215" s="4" t="str">
        <x:f>IF(A215="","",IFERROR(VLOOKUP(J215,MGMT_RULE!$A:$G,7,FALSE),IFERROR(VLOOKUP(H215,RULE_MAIN!$A:$F,6,FALSE),IFERROR(VLOOKUP(I215,RULE_MAIN!$A:$F,6,FALSE),"관리자 확인"))))</x:f>
      </x:c>
      <x:c r="L215" s="5" t="str">
        <x:f>IF(A215="","",IF(K215="관리자 확인","DNC 차단",IF(ISNUMBER(SEARCH("후보",K215)),"관리자 확인",IFERROR(IF(MATCH(K215,PG_LIST!$A:$A,0)&gt;0,"DNC 가능","Program 파일 없음"),"Program 파일 없음"))))</x:f>
      </x:c>
      <x:c r="M215" s="6" t="str">
        <x:f>IF(A215="","",IF(COUNTIF(MGMT_RULE!$A:$A,J215)&gt;0,"관리번호 전용 RULE",IF(COUNTIF(RULE_MAIN!$A:$A,H215)&gt;0,"정확 RULE",IF(COUNTIF(RULE_MAIN!$A:$A,I215)&gt;0,"ANY RULE","확정 RULE 필요"))))</x:f>
      </x:c>
      <x:c r="N215" s="6" t="str">
        <x:f t="shared" si="30"/>
      </x:c>
      <x:c r="O215" s="6" t="str">
        <x:f t="shared" si="31"/>
      </x:c>
    </x:row>
    <x:row r="216">
      <x:c r="A216" s="2"/>
      <x:c r="B216" s="2"/>
      <x:c r="C216" s="2"/>
      <x:c r="D216" s="2"/>
      <x:c r="E216" s="3" t="str">
        <x:f t="shared" si="24"/>
      </x:c>
      <x:c r="F216" s="3" t="str">
        <x:f t="shared" si="25"/>
      </x:c>
      <x:c r="G216" s="3" t="str">
        <x:f t="shared" si="26"/>
        <x:v>OMS2 확인</x:v>
      </x:c>
      <x:c r="H216" s="3" t="str">
        <x:f t="shared" si="27"/>
      </x:c>
      <x:c r="I216" s="3" t="str">
        <x:f t="shared" si="28"/>
      </x:c>
      <x:c r="J216" s="3" t="str">
        <x:f t="shared" si="29"/>
      </x:c>
      <x:c r="K216" s="4" t="str">
        <x:f>IF(A216="","",IFERROR(VLOOKUP(J216,MGMT_RULE!$A:$G,7,FALSE),IFERROR(VLOOKUP(H216,RULE_MAIN!$A:$F,6,FALSE),IFERROR(VLOOKUP(I216,RULE_MAIN!$A:$F,6,FALSE),"관리자 확인"))))</x:f>
      </x:c>
      <x:c r="L216" s="5" t="str">
        <x:f>IF(A216="","",IF(K216="관리자 확인","DNC 차단",IF(ISNUMBER(SEARCH("후보",K216)),"관리자 확인",IFERROR(IF(MATCH(K216,PG_LIST!$A:$A,0)&gt;0,"DNC 가능","Program 파일 없음"),"Program 파일 없음"))))</x:f>
      </x:c>
      <x:c r="M216" s="6" t="str">
        <x:f>IF(A216="","",IF(COUNTIF(MGMT_RULE!$A:$A,J216)&gt;0,"관리번호 전용 RULE",IF(COUNTIF(RULE_MAIN!$A:$A,H216)&gt;0,"정확 RULE",IF(COUNTIF(RULE_MAIN!$A:$A,I216)&gt;0,"ANY RULE","확정 RULE 필요"))))</x:f>
      </x:c>
      <x:c r="N216" s="6" t="str">
        <x:f t="shared" si="30"/>
      </x:c>
      <x:c r="O216" s="6" t="str">
        <x:f t="shared" si="31"/>
      </x:c>
    </x:row>
    <x:row r="217">
      <x:c r="A217" s="2"/>
      <x:c r="B217" s="2"/>
      <x:c r="C217" s="2"/>
      <x:c r="D217" s="2"/>
      <x:c r="E217" s="3" t="str">
        <x:f t="shared" si="24"/>
      </x:c>
      <x:c r="F217" s="3" t="str">
        <x:f t="shared" si="25"/>
      </x:c>
      <x:c r="G217" s="3" t="str">
        <x:f t="shared" si="26"/>
        <x:v>OMS2 확인</x:v>
      </x:c>
      <x:c r="H217" s="3" t="str">
        <x:f t="shared" si="27"/>
      </x:c>
      <x:c r="I217" s="3" t="str">
        <x:f t="shared" si="28"/>
      </x:c>
      <x:c r="J217" s="3" t="str">
        <x:f t="shared" si="29"/>
      </x:c>
      <x:c r="K217" s="4" t="str">
        <x:f>IF(A217="","",IFERROR(VLOOKUP(J217,MGMT_RULE!$A:$G,7,FALSE),IFERROR(VLOOKUP(H217,RULE_MAIN!$A:$F,6,FALSE),IFERROR(VLOOKUP(I217,RULE_MAIN!$A:$F,6,FALSE),"관리자 확인"))))</x:f>
      </x:c>
      <x:c r="L217" s="5" t="str">
        <x:f>IF(A217="","",IF(K217="관리자 확인","DNC 차단",IF(ISNUMBER(SEARCH("후보",K217)),"관리자 확인",IFERROR(IF(MATCH(K217,PG_LIST!$A:$A,0)&gt;0,"DNC 가능","Program 파일 없음"),"Program 파일 없음"))))</x:f>
      </x:c>
      <x:c r="M217" s="6" t="str">
        <x:f>IF(A217="","",IF(COUNTIF(MGMT_RULE!$A:$A,J217)&gt;0,"관리번호 전용 RULE",IF(COUNTIF(RULE_MAIN!$A:$A,H217)&gt;0,"정확 RULE",IF(COUNTIF(RULE_MAIN!$A:$A,I217)&gt;0,"ANY RULE","확정 RULE 필요"))))</x:f>
      </x:c>
      <x:c r="N217" s="6" t="str">
        <x:f t="shared" si="30"/>
      </x:c>
      <x:c r="O217" s="6" t="str">
        <x:f t="shared" si="31"/>
      </x:c>
    </x:row>
    <x:row r="218">
      <x:c r="A218" s="2"/>
      <x:c r="B218" s="2"/>
      <x:c r="C218" s="2"/>
      <x:c r="D218" s="2"/>
      <x:c r="E218" s="3" t="str">
        <x:f t="shared" si="24"/>
      </x:c>
      <x:c r="F218" s="3" t="str">
        <x:f t="shared" si="25"/>
      </x:c>
      <x:c r="G218" s="3" t="str">
        <x:f t="shared" si="26"/>
        <x:v>OMS2 확인</x:v>
      </x:c>
      <x:c r="H218" s="3" t="str">
        <x:f t="shared" si="27"/>
      </x:c>
      <x:c r="I218" s="3" t="str">
        <x:f t="shared" si="28"/>
      </x:c>
      <x:c r="J218" s="3" t="str">
        <x:f t="shared" si="29"/>
      </x:c>
      <x:c r="K218" s="4" t="str">
        <x:f>IF(A218="","",IFERROR(VLOOKUP(J218,MGMT_RULE!$A:$G,7,FALSE),IFERROR(VLOOKUP(H218,RULE_MAIN!$A:$F,6,FALSE),IFERROR(VLOOKUP(I218,RULE_MAIN!$A:$F,6,FALSE),"관리자 확인"))))</x:f>
      </x:c>
      <x:c r="L218" s="5" t="str">
        <x:f>IF(A218="","",IF(K218="관리자 확인","DNC 차단",IF(ISNUMBER(SEARCH("후보",K218)),"관리자 확인",IFERROR(IF(MATCH(K218,PG_LIST!$A:$A,0)&gt;0,"DNC 가능","Program 파일 없음"),"Program 파일 없음"))))</x:f>
      </x:c>
      <x:c r="M218" s="6" t="str">
        <x:f>IF(A218="","",IF(COUNTIF(MGMT_RULE!$A:$A,J218)&gt;0,"관리번호 전용 RULE",IF(COUNTIF(RULE_MAIN!$A:$A,H218)&gt;0,"정확 RULE",IF(COUNTIF(RULE_MAIN!$A:$A,I218)&gt;0,"ANY RULE","확정 RULE 필요"))))</x:f>
      </x:c>
      <x:c r="N218" s="6" t="str">
        <x:f t="shared" si="30"/>
      </x:c>
      <x:c r="O218" s="6" t="str">
        <x:f t="shared" si="31"/>
      </x:c>
    </x:row>
    <x:row r="219">
      <x:c r="A219" s="2"/>
      <x:c r="B219" s="2"/>
      <x:c r="C219" s="2"/>
      <x:c r="D219" s="2"/>
      <x:c r="E219" s="3" t="str">
        <x:f t="shared" si="24"/>
      </x:c>
      <x:c r="F219" s="3" t="str">
        <x:f t="shared" si="25"/>
      </x:c>
      <x:c r="G219" s="3" t="str">
        <x:f t="shared" si="26"/>
        <x:v>OMS2 확인</x:v>
      </x:c>
      <x:c r="H219" s="3" t="str">
        <x:f t="shared" si="27"/>
      </x:c>
      <x:c r="I219" s="3" t="str">
        <x:f t="shared" si="28"/>
      </x:c>
      <x:c r="J219" s="3" t="str">
        <x:f t="shared" si="29"/>
      </x:c>
      <x:c r="K219" s="4" t="str">
        <x:f>IF(A219="","",IFERROR(VLOOKUP(J219,MGMT_RULE!$A:$G,7,FALSE),IFERROR(VLOOKUP(H219,RULE_MAIN!$A:$F,6,FALSE),IFERROR(VLOOKUP(I219,RULE_MAIN!$A:$F,6,FALSE),"관리자 확인"))))</x:f>
      </x:c>
      <x:c r="L219" s="5" t="str">
        <x:f>IF(A219="","",IF(K219="관리자 확인","DNC 차단",IF(ISNUMBER(SEARCH("후보",K219)),"관리자 확인",IFERROR(IF(MATCH(K219,PG_LIST!$A:$A,0)&gt;0,"DNC 가능","Program 파일 없음"),"Program 파일 없음"))))</x:f>
      </x:c>
      <x:c r="M219" s="6" t="str">
        <x:f>IF(A219="","",IF(COUNTIF(MGMT_RULE!$A:$A,J219)&gt;0,"관리번호 전용 RULE",IF(COUNTIF(RULE_MAIN!$A:$A,H219)&gt;0,"정확 RULE",IF(COUNTIF(RULE_MAIN!$A:$A,I219)&gt;0,"ANY RULE","확정 RULE 필요"))))</x:f>
      </x:c>
      <x:c r="N219" s="6" t="str">
        <x:f t="shared" si="30"/>
      </x:c>
      <x:c r="O219" s="6" t="str">
        <x:f t="shared" si="31"/>
      </x:c>
    </x:row>
    <x:row r="220">
      <x:c r="A220" s="2"/>
      <x:c r="B220" s="2"/>
      <x:c r="C220" s="2"/>
      <x:c r="D220" s="2"/>
      <x:c r="E220" s="3" t="str">
        <x:f t="shared" si="24"/>
      </x:c>
      <x:c r="F220" s="3" t="str">
        <x:f t="shared" si="25"/>
      </x:c>
      <x:c r="G220" s="3" t="str">
        <x:f t="shared" si="26"/>
        <x:v>OMS2 확인</x:v>
      </x:c>
      <x:c r="H220" s="3" t="str">
        <x:f t="shared" si="27"/>
      </x:c>
      <x:c r="I220" s="3" t="str">
        <x:f t="shared" si="28"/>
      </x:c>
      <x:c r="J220" s="3" t="str">
        <x:f t="shared" si="29"/>
      </x:c>
      <x:c r="K220" s="4" t="str">
        <x:f>IF(A220="","",IFERROR(VLOOKUP(J220,MGMT_RULE!$A:$G,7,FALSE),IFERROR(VLOOKUP(H220,RULE_MAIN!$A:$F,6,FALSE),IFERROR(VLOOKUP(I220,RULE_MAIN!$A:$F,6,FALSE),"관리자 확인"))))</x:f>
      </x:c>
      <x:c r="L220" s="5" t="str">
        <x:f>IF(A220="","",IF(K220="관리자 확인","DNC 차단",IF(ISNUMBER(SEARCH("후보",K220)),"관리자 확인",IFERROR(IF(MATCH(K220,PG_LIST!$A:$A,0)&gt;0,"DNC 가능","Program 파일 없음"),"Program 파일 없음"))))</x:f>
      </x:c>
      <x:c r="M220" s="6" t="str">
        <x:f>IF(A220="","",IF(COUNTIF(MGMT_RULE!$A:$A,J220)&gt;0,"관리번호 전용 RULE",IF(COUNTIF(RULE_MAIN!$A:$A,H220)&gt;0,"정확 RULE",IF(COUNTIF(RULE_MAIN!$A:$A,I220)&gt;0,"ANY RULE","확정 RULE 필요"))))</x:f>
      </x:c>
      <x:c r="N220" s="6" t="str">
        <x:f t="shared" si="30"/>
      </x:c>
      <x:c r="O220" s="6" t="str">
        <x:f t="shared" si="31"/>
      </x:c>
    </x:row>
    <x:row r="221">
      <x:c r="A221" s="2"/>
      <x:c r="B221" s="2"/>
      <x:c r="C221" s="2"/>
      <x:c r="D221" s="2"/>
      <x:c r="E221" s="3" t="str">
        <x:f t="shared" si="24"/>
      </x:c>
      <x:c r="F221" s="3" t="str">
        <x:f t="shared" si="25"/>
      </x:c>
      <x:c r="G221" s="3" t="str">
        <x:f t="shared" si="26"/>
        <x:v>OMS2 확인</x:v>
      </x:c>
      <x:c r="H221" s="3" t="str">
        <x:f t="shared" si="27"/>
      </x:c>
      <x:c r="I221" s="3" t="str">
        <x:f t="shared" si="28"/>
      </x:c>
      <x:c r="J221" s="3" t="str">
        <x:f t="shared" si="29"/>
      </x:c>
      <x:c r="K221" s="4" t="str">
        <x:f>IF(A221="","",IFERROR(VLOOKUP(J221,MGMT_RULE!$A:$G,7,FALSE),IFERROR(VLOOKUP(H221,RULE_MAIN!$A:$F,6,FALSE),IFERROR(VLOOKUP(I221,RULE_MAIN!$A:$F,6,FALSE),"관리자 확인"))))</x:f>
      </x:c>
      <x:c r="L221" s="5" t="str">
        <x:f>IF(A221="","",IF(K221="관리자 확인","DNC 차단",IF(ISNUMBER(SEARCH("후보",K221)),"관리자 확인",IFERROR(IF(MATCH(K221,PG_LIST!$A:$A,0)&gt;0,"DNC 가능","Program 파일 없음"),"Program 파일 없음"))))</x:f>
      </x:c>
      <x:c r="M221" s="6" t="str">
        <x:f>IF(A221="","",IF(COUNTIF(MGMT_RULE!$A:$A,J221)&gt;0,"관리번호 전용 RULE",IF(COUNTIF(RULE_MAIN!$A:$A,H221)&gt;0,"정확 RULE",IF(COUNTIF(RULE_MAIN!$A:$A,I221)&gt;0,"ANY RULE","확정 RULE 필요"))))</x:f>
      </x:c>
      <x:c r="N221" s="6" t="str">
        <x:f t="shared" si="30"/>
      </x:c>
      <x:c r="O221" s="6" t="str">
        <x:f t="shared" si="31"/>
      </x:c>
    </x:row>
    <x:row r="222">
      <x:c r="A222" s="2"/>
      <x:c r="B222" s="2"/>
      <x:c r="C222" s="2"/>
      <x:c r="D222" s="2"/>
      <x:c r="E222" s="3" t="str">
        <x:f t="shared" si="24"/>
      </x:c>
      <x:c r="F222" s="3" t="str">
        <x:f t="shared" si="25"/>
      </x:c>
      <x:c r="G222" s="3" t="str">
        <x:f t="shared" si="26"/>
        <x:v>OMS2 확인</x:v>
      </x:c>
      <x:c r="H222" s="3" t="str">
        <x:f t="shared" si="27"/>
      </x:c>
      <x:c r="I222" s="3" t="str">
        <x:f t="shared" si="28"/>
      </x:c>
      <x:c r="J222" s="3" t="str">
        <x:f t="shared" si="29"/>
      </x:c>
      <x:c r="K222" s="4" t="str">
        <x:f>IF(A222="","",IFERROR(VLOOKUP(J222,MGMT_RULE!$A:$G,7,FALSE),IFERROR(VLOOKUP(H222,RULE_MAIN!$A:$F,6,FALSE),IFERROR(VLOOKUP(I222,RULE_MAIN!$A:$F,6,FALSE),"관리자 확인"))))</x:f>
      </x:c>
      <x:c r="L222" s="5" t="str">
        <x:f>IF(A222="","",IF(K222="관리자 확인","DNC 차단",IF(ISNUMBER(SEARCH("후보",K222)),"관리자 확인",IFERROR(IF(MATCH(K222,PG_LIST!$A:$A,0)&gt;0,"DNC 가능","Program 파일 없음"),"Program 파일 없음"))))</x:f>
      </x:c>
      <x:c r="M222" s="6" t="str">
        <x:f>IF(A222="","",IF(COUNTIF(MGMT_RULE!$A:$A,J222)&gt;0,"관리번호 전용 RULE",IF(COUNTIF(RULE_MAIN!$A:$A,H222)&gt;0,"정확 RULE",IF(COUNTIF(RULE_MAIN!$A:$A,I222)&gt;0,"ANY RULE","확정 RULE 필요"))))</x:f>
      </x:c>
      <x:c r="N222" s="6" t="str">
        <x:f t="shared" si="30"/>
      </x:c>
      <x:c r="O222" s="6" t="str">
        <x:f t="shared" si="31"/>
      </x:c>
    </x:row>
    <x:row r="223">
      <x:c r="A223" s="2"/>
      <x:c r="B223" s="2"/>
      <x:c r="C223" s="2"/>
      <x:c r="D223" s="2"/>
      <x:c r="E223" s="3" t="str">
        <x:f t="shared" si="24"/>
      </x:c>
      <x:c r="F223" s="3" t="str">
        <x:f t="shared" si="25"/>
      </x:c>
      <x:c r="G223" s="3" t="str">
        <x:f t="shared" si="26"/>
        <x:v>OMS2 확인</x:v>
      </x:c>
      <x:c r="H223" s="3" t="str">
        <x:f t="shared" si="27"/>
      </x:c>
      <x:c r="I223" s="3" t="str">
        <x:f t="shared" si="28"/>
      </x:c>
      <x:c r="J223" s="3" t="str">
        <x:f t="shared" si="29"/>
      </x:c>
      <x:c r="K223" s="4" t="str">
        <x:f>IF(A223="","",IFERROR(VLOOKUP(J223,MGMT_RULE!$A:$G,7,FALSE),IFERROR(VLOOKUP(H223,RULE_MAIN!$A:$F,6,FALSE),IFERROR(VLOOKUP(I223,RULE_MAIN!$A:$F,6,FALSE),"관리자 확인"))))</x:f>
      </x:c>
      <x:c r="L223" s="5" t="str">
        <x:f>IF(A223="","",IF(K223="관리자 확인","DNC 차단",IF(ISNUMBER(SEARCH("후보",K223)),"관리자 확인",IFERROR(IF(MATCH(K223,PG_LIST!$A:$A,0)&gt;0,"DNC 가능","Program 파일 없음"),"Program 파일 없음"))))</x:f>
      </x:c>
      <x:c r="M223" s="6" t="str">
        <x:f>IF(A223="","",IF(COUNTIF(MGMT_RULE!$A:$A,J223)&gt;0,"관리번호 전용 RULE",IF(COUNTIF(RULE_MAIN!$A:$A,H223)&gt;0,"정확 RULE",IF(COUNTIF(RULE_MAIN!$A:$A,I223)&gt;0,"ANY RULE","확정 RULE 필요"))))</x:f>
      </x:c>
      <x:c r="N223" s="6" t="str">
        <x:f t="shared" si="30"/>
      </x:c>
      <x:c r="O223" s="6" t="str">
        <x:f t="shared" si="31"/>
      </x:c>
    </x:row>
    <x:row r="224">
      <x:c r="A224" s="2"/>
      <x:c r="B224" s="2"/>
      <x:c r="C224" s="2"/>
      <x:c r="D224" s="2"/>
      <x:c r="E224" s="3" t="str">
        <x:f t="shared" si="24"/>
      </x:c>
      <x:c r="F224" s="3" t="str">
        <x:f t="shared" si="25"/>
      </x:c>
      <x:c r="G224" s="3" t="str">
        <x:f t="shared" si="26"/>
        <x:v>OMS2 확인</x:v>
      </x:c>
      <x:c r="H224" s="3" t="str">
        <x:f t="shared" si="27"/>
      </x:c>
      <x:c r="I224" s="3" t="str">
        <x:f t="shared" si="28"/>
      </x:c>
      <x:c r="J224" s="3" t="str">
        <x:f t="shared" si="29"/>
      </x:c>
      <x:c r="K224" s="4" t="str">
        <x:f>IF(A224="","",IFERROR(VLOOKUP(J224,MGMT_RULE!$A:$G,7,FALSE),IFERROR(VLOOKUP(H224,RULE_MAIN!$A:$F,6,FALSE),IFERROR(VLOOKUP(I224,RULE_MAIN!$A:$F,6,FALSE),"관리자 확인"))))</x:f>
      </x:c>
      <x:c r="L224" s="5" t="str">
        <x:f>IF(A224="","",IF(K224="관리자 확인","DNC 차단",IF(ISNUMBER(SEARCH("후보",K224)),"관리자 확인",IFERROR(IF(MATCH(K224,PG_LIST!$A:$A,0)&gt;0,"DNC 가능","Program 파일 없음"),"Program 파일 없음"))))</x:f>
      </x:c>
      <x:c r="M224" s="6" t="str">
        <x:f>IF(A224="","",IF(COUNTIF(MGMT_RULE!$A:$A,J224)&gt;0,"관리번호 전용 RULE",IF(COUNTIF(RULE_MAIN!$A:$A,H224)&gt;0,"정확 RULE",IF(COUNTIF(RULE_MAIN!$A:$A,I224)&gt;0,"ANY RULE","확정 RULE 필요"))))</x:f>
      </x:c>
      <x:c r="N224" s="6" t="str">
        <x:f t="shared" si="30"/>
      </x:c>
      <x:c r="O224" s="6" t="str">
        <x:f t="shared" si="31"/>
      </x:c>
    </x:row>
    <x:row r="225">
      <x:c r="A225" s="2"/>
      <x:c r="B225" s="2"/>
      <x:c r="C225" s="2"/>
      <x:c r="D225" s="2"/>
      <x:c r="E225" s="3" t="str">
        <x:f t="shared" si="24"/>
      </x:c>
      <x:c r="F225" s="3" t="str">
        <x:f t="shared" si="25"/>
      </x:c>
      <x:c r="G225" s="3" t="str">
        <x:f t="shared" si="26"/>
        <x:v>OMS2 확인</x:v>
      </x:c>
      <x:c r="H225" s="3" t="str">
        <x:f t="shared" si="27"/>
      </x:c>
      <x:c r="I225" s="3" t="str">
        <x:f t="shared" si="28"/>
      </x:c>
      <x:c r="J225" s="3" t="str">
        <x:f t="shared" si="29"/>
      </x:c>
      <x:c r="K225" s="4" t="str">
        <x:f>IF(A225="","",IFERROR(VLOOKUP(J225,MGMT_RULE!$A:$G,7,FALSE),IFERROR(VLOOKUP(H225,RULE_MAIN!$A:$F,6,FALSE),IFERROR(VLOOKUP(I225,RULE_MAIN!$A:$F,6,FALSE),"관리자 확인"))))</x:f>
      </x:c>
      <x:c r="L225" s="5" t="str">
        <x:f>IF(A225="","",IF(K225="관리자 확인","DNC 차단",IF(ISNUMBER(SEARCH("후보",K225)),"관리자 확인",IFERROR(IF(MATCH(K225,PG_LIST!$A:$A,0)&gt;0,"DNC 가능","Program 파일 없음"),"Program 파일 없음"))))</x:f>
      </x:c>
      <x:c r="M225" s="6" t="str">
        <x:f>IF(A225="","",IF(COUNTIF(MGMT_RULE!$A:$A,J225)&gt;0,"관리번호 전용 RULE",IF(COUNTIF(RULE_MAIN!$A:$A,H225)&gt;0,"정확 RULE",IF(COUNTIF(RULE_MAIN!$A:$A,I225)&gt;0,"ANY RULE","확정 RULE 필요"))))</x:f>
      </x:c>
      <x:c r="N225" s="6" t="str">
        <x:f t="shared" si="30"/>
      </x:c>
      <x:c r="O225" s="6" t="str">
        <x:f t="shared" si="31"/>
      </x:c>
    </x:row>
    <x:row r="226">
      <x:c r="A226" s="2"/>
      <x:c r="B226" s="2"/>
      <x:c r="C226" s="2"/>
      <x:c r="D226" s="2"/>
      <x:c r="E226" s="3" t="str">
        <x:f t="shared" si="24"/>
      </x:c>
      <x:c r="F226" s="3" t="str">
        <x:f t="shared" si="25"/>
      </x:c>
      <x:c r="G226" s="3" t="str">
        <x:f t="shared" si="26"/>
        <x:v>OMS2 확인</x:v>
      </x:c>
      <x:c r="H226" s="3" t="str">
        <x:f t="shared" si="27"/>
      </x:c>
      <x:c r="I226" s="3" t="str">
        <x:f t="shared" si="28"/>
      </x:c>
      <x:c r="J226" s="3" t="str">
        <x:f t="shared" si="29"/>
      </x:c>
      <x:c r="K226" s="4" t="str">
        <x:f>IF(A226="","",IFERROR(VLOOKUP(J226,MGMT_RULE!$A:$G,7,FALSE),IFERROR(VLOOKUP(H226,RULE_MAIN!$A:$F,6,FALSE),IFERROR(VLOOKUP(I226,RULE_MAIN!$A:$F,6,FALSE),"관리자 확인"))))</x:f>
      </x:c>
      <x:c r="L226" s="5" t="str">
        <x:f>IF(A226="","",IF(K226="관리자 확인","DNC 차단",IF(ISNUMBER(SEARCH("후보",K226)),"관리자 확인",IFERROR(IF(MATCH(K226,PG_LIST!$A:$A,0)&gt;0,"DNC 가능","Program 파일 없음"),"Program 파일 없음"))))</x:f>
      </x:c>
      <x:c r="M226" s="6" t="str">
        <x:f>IF(A226="","",IF(COUNTIF(MGMT_RULE!$A:$A,J226)&gt;0,"관리번호 전용 RULE",IF(COUNTIF(RULE_MAIN!$A:$A,H226)&gt;0,"정확 RULE",IF(COUNTIF(RULE_MAIN!$A:$A,I226)&gt;0,"ANY RULE","확정 RULE 필요"))))</x:f>
      </x:c>
      <x:c r="N226" s="6" t="str">
        <x:f t="shared" si="30"/>
      </x:c>
      <x:c r="O226" s="6" t="str">
        <x:f t="shared" si="31"/>
      </x:c>
    </x:row>
    <x:row r="227">
      <x:c r="A227" s="2"/>
      <x:c r="B227" s="2"/>
      <x:c r="C227" s="2"/>
      <x:c r="D227" s="2"/>
      <x:c r="E227" s="3" t="str">
        <x:f t="shared" si="24"/>
      </x:c>
      <x:c r="F227" s="3" t="str">
        <x:f t="shared" si="25"/>
      </x:c>
      <x:c r="G227" s="3" t="str">
        <x:f t="shared" si="26"/>
        <x:v>OMS2 확인</x:v>
      </x:c>
      <x:c r="H227" s="3" t="str">
        <x:f t="shared" si="27"/>
      </x:c>
      <x:c r="I227" s="3" t="str">
        <x:f t="shared" si="28"/>
      </x:c>
      <x:c r="J227" s="3" t="str">
        <x:f t="shared" si="29"/>
      </x:c>
      <x:c r="K227" s="4" t="str">
        <x:f>IF(A227="","",IFERROR(VLOOKUP(J227,MGMT_RULE!$A:$G,7,FALSE),IFERROR(VLOOKUP(H227,RULE_MAIN!$A:$F,6,FALSE),IFERROR(VLOOKUP(I227,RULE_MAIN!$A:$F,6,FALSE),"관리자 확인"))))</x:f>
      </x:c>
      <x:c r="L227" s="5" t="str">
        <x:f>IF(A227="","",IF(K227="관리자 확인","DNC 차단",IF(ISNUMBER(SEARCH("후보",K227)),"관리자 확인",IFERROR(IF(MATCH(K227,PG_LIST!$A:$A,0)&gt;0,"DNC 가능","Program 파일 없음"),"Program 파일 없음"))))</x:f>
      </x:c>
      <x:c r="M227" s="6" t="str">
        <x:f>IF(A227="","",IF(COUNTIF(MGMT_RULE!$A:$A,J227)&gt;0,"관리번호 전용 RULE",IF(COUNTIF(RULE_MAIN!$A:$A,H227)&gt;0,"정확 RULE",IF(COUNTIF(RULE_MAIN!$A:$A,I227)&gt;0,"ANY RULE","확정 RULE 필요"))))</x:f>
      </x:c>
      <x:c r="N227" s="6" t="str">
        <x:f t="shared" si="30"/>
      </x:c>
      <x:c r="O227" s="6" t="str">
        <x:f t="shared" si="31"/>
      </x:c>
    </x:row>
    <x:row r="228">
      <x:c r="A228" s="2"/>
      <x:c r="B228" s="2"/>
      <x:c r="C228" s="2"/>
      <x:c r="D228" s="2"/>
      <x:c r="E228" s="3" t="str">
        <x:f t="shared" si="24"/>
      </x:c>
      <x:c r="F228" s="3" t="str">
        <x:f t="shared" si="25"/>
      </x:c>
      <x:c r="G228" s="3" t="str">
        <x:f t="shared" si="26"/>
        <x:v>OMS2 확인</x:v>
      </x:c>
      <x:c r="H228" s="3" t="str">
        <x:f t="shared" si="27"/>
      </x:c>
      <x:c r="I228" s="3" t="str">
        <x:f t="shared" si="28"/>
      </x:c>
      <x:c r="J228" s="3" t="str">
        <x:f t="shared" si="29"/>
      </x:c>
      <x:c r="K228" s="4" t="str">
        <x:f>IF(A228="","",IFERROR(VLOOKUP(J228,MGMT_RULE!$A:$G,7,FALSE),IFERROR(VLOOKUP(H228,RULE_MAIN!$A:$F,6,FALSE),IFERROR(VLOOKUP(I228,RULE_MAIN!$A:$F,6,FALSE),"관리자 확인"))))</x:f>
      </x:c>
      <x:c r="L228" s="5" t="str">
        <x:f>IF(A228="","",IF(K228="관리자 확인","DNC 차단",IF(ISNUMBER(SEARCH("후보",K228)),"관리자 확인",IFERROR(IF(MATCH(K228,PG_LIST!$A:$A,0)&gt;0,"DNC 가능","Program 파일 없음"),"Program 파일 없음"))))</x:f>
      </x:c>
      <x:c r="M228" s="6" t="str">
        <x:f>IF(A228="","",IF(COUNTIF(MGMT_RULE!$A:$A,J228)&gt;0,"관리번호 전용 RULE",IF(COUNTIF(RULE_MAIN!$A:$A,H228)&gt;0,"정확 RULE",IF(COUNTIF(RULE_MAIN!$A:$A,I228)&gt;0,"ANY RULE","확정 RULE 필요"))))</x:f>
      </x:c>
      <x:c r="N228" s="6" t="str">
        <x:f t="shared" si="30"/>
      </x:c>
      <x:c r="O228" s="6" t="str">
        <x:f t="shared" si="31"/>
      </x:c>
    </x:row>
    <x:row r="229">
      <x:c r="A229" s="2"/>
      <x:c r="B229" s="2"/>
      <x:c r="C229" s="2"/>
      <x:c r="D229" s="2"/>
      <x:c r="E229" s="3" t="str">
        <x:f t="shared" si="24"/>
      </x:c>
      <x:c r="F229" s="3" t="str">
        <x:f t="shared" si="25"/>
      </x:c>
      <x:c r="G229" s="3" t="str">
        <x:f t="shared" si="26"/>
        <x:v>OMS2 확인</x:v>
      </x:c>
      <x:c r="H229" s="3" t="str">
        <x:f t="shared" si="27"/>
      </x:c>
      <x:c r="I229" s="3" t="str">
        <x:f t="shared" si="28"/>
      </x:c>
      <x:c r="J229" s="3" t="str">
        <x:f t="shared" si="29"/>
      </x:c>
      <x:c r="K229" s="4" t="str">
        <x:f>IF(A229="","",IFERROR(VLOOKUP(J229,MGMT_RULE!$A:$G,7,FALSE),IFERROR(VLOOKUP(H229,RULE_MAIN!$A:$F,6,FALSE),IFERROR(VLOOKUP(I229,RULE_MAIN!$A:$F,6,FALSE),"관리자 확인"))))</x:f>
      </x:c>
      <x:c r="L229" s="5" t="str">
        <x:f>IF(A229="","",IF(K229="관리자 확인","DNC 차단",IF(ISNUMBER(SEARCH("후보",K229)),"관리자 확인",IFERROR(IF(MATCH(K229,PG_LIST!$A:$A,0)&gt;0,"DNC 가능","Program 파일 없음"),"Program 파일 없음"))))</x:f>
      </x:c>
      <x:c r="M229" s="6" t="str">
        <x:f>IF(A229="","",IF(COUNTIF(MGMT_RULE!$A:$A,J229)&gt;0,"관리번호 전용 RULE",IF(COUNTIF(RULE_MAIN!$A:$A,H229)&gt;0,"정확 RULE",IF(COUNTIF(RULE_MAIN!$A:$A,I229)&gt;0,"ANY RULE","확정 RULE 필요"))))</x:f>
      </x:c>
      <x:c r="N229" s="6" t="str">
        <x:f t="shared" si="30"/>
      </x:c>
      <x:c r="O229" s="6" t="str">
        <x:f t="shared" si="31"/>
      </x:c>
    </x:row>
    <x:row r="230">
      <x:c r="A230" s="2"/>
      <x:c r="B230" s="2"/>
      <x:c r="C230" s="2"/>
      <x:c r="D230" s="2"/>
      <x:c r="E230" s="3" t="str">
        <x:f t="shared" si="24"/>
      </x:c>
      <x:c r="F230" s="3" t="str">
        <x:f t="shared" si="25"/>
      </x:c>
      <x:c r="G230" s="3" t="str">
        <x:f t="shared" si="26"/>
        <x:v>OMS2 확인</x:v>
      </x:c>
      <x:c r="H230" s="3" t="str">
        <x:f t="shared" si="27"/>
      </x:c>
      <x:c r="I230" s="3" t="str">
        <x:f t="shared" si="28"/>
      </x:c>
      <x:c r="J230" s="3" t="str">
        <x:f t="shared" si="29"/>
      </x:c>
      <x:c r="K230" s="4" t="str">
        <x:f>IF(A230="","",IFERROR(VLOOKUP(J230,MGMT_RULE!$A:$G,7,FALSE),IFERROR(VLOOKUP(H230,RULE_MAIN!$A:$F,6,FALSE),IFERROR(VLOOKUP(I230,RULE_MAIN!$A:$F,6,FALSE),"관리자 확인"))))</x:f>
      </x:c>
      <x:c r="L230" s="5" t="str">
        <x:f>IF(A230="","",IF(K230="관리자 확인","DNC 차단",IF(ISNUMBER(SEARCH("후보",K230)),"관리자 확인",IFERROR(IF(MATCH(K230,PG_LIST!$A:$A,0)&gt;0,"DNC 가능","Program 파일 없음"),"Program 파일 없음"))))</x:f>
      </x:c>
      <x:c r="M230" s="6" t="str">
        <x:f>IF(A230="","",IF(COUNTIF(MGMT_RULE!$A:$A,J230)&gt;0,"관리번호 전용 RULE",IF(COUNTIF(RULE_MAIN!$A:$A,H230)&gt;0,"정확 RULE",IF(COUNTIF(RULE_MAIN!$A:$A,I230)&gt;0,"ANY RULE","확정 RULE 필요"))))</x:f>
      </x:c>
      <x:c r="N230" s="6" t="str">
        <x:f t="shared" si="30"/>
      </x:c>
      <x:c r="O230" s="6" t="str">
        <x:f t="shared" si="31"/>
      </x:c>
    </x:row>
    <x:row r="231">
      <x:c r="A231" s="2"/>
      <x:c r="B231" s="2"/>
      <x:c r="C231" s="2"/>
      <x:c r="D231" s="2"/>
      <x:c r="E231" s="3" t="str">
        <x:f t="shared" si="24"/>
      </x:c>
      <x:c r="F231" s="3" t="str">
        <x:f t="shared" si="25"/>
      </x:c>
      <x:c r="G231" s="3" t="str">
        <x:f t="shared" si="26"/>
        <x:v>OMS2 확인</x:v>
      </x:c>
      <x:c r="H231" s="3" t="str">
        <x:f t="shared" si="27"/>
      </x:c>
      <x:c r="I231" s="3" t="str">
        <x:f t="shared" si="28"/>
      </x:c>
      <x:c r="J231" s="3" t="str">
        <x:f t="shared" si="29"/>
      </x:c>
      <x:c r="K231" s="4" t="str">
        <x:f>IF(A231="","",IFERROR(VLOOKUP(J231,MGMT_RULE!$A:$G,7,FALSE),IFERROR(VLOOKUP(H231,RULE_MAIN!$A:$F,6,FALSE),IFERROR(VLOOKUP(I231,RULE_MAIN!$A:$F,6,FALSE),"관리자 확인"))))</x:f>
      </x:c>
      <x:c r="L231" s="5" t="str">
        <x:f>IF(A231="","",IF(K231="관리자 확인","DNC 차단",IF(ISNUMBER(SEARCH("후보",K231)),"관리자 확인",IFERROR(IF(MATCH(K231,PG_LIST!$A:$A,0)&gt;0,"DNC 가능","Program 파일 없음"),"Program 파일 없음"))))</x:f>
      </x:c>
      <x:c r="M231" s="6" t="str">
        <x:f>IF(A231="","",IF(COUNTIF(MGMT_RULE!$A:$A,J231)&gt;0,"관리번호 전용 RULE",IF(COUNTIF(RULE_MAIN!$A:$A,H231)&gt;0,"정확 RULE",IF(COUNTIF(RULE_MAIN!$A:$A,I231)&gt;0,"ANY RULE","확정 RULE 필요"))))</x:f>
      </x:c>
      <x:c r="N231" s="6" t="str">
        <x:f t="shared" si="30"/>
      </x:c>
      <x:c r="O231" s="6" t="str">
        <x:f t="shared" si="31"/>
      </x:c>
    </x:row>
    <x:row r="232">
      <x:c r="A232" s="2"/>
      <x:c r="B232" s="2"/>
      <x:c r="C232" s="2"/>
      <x:c r="D232" s="2"/>
      <x:c r="E232" s="3" t="str">
        <x:f t="shared" si="24"/>
      </x:c>
      <x:c r="F232" s="3" t="str">
        <x:f t="shared" si="25"/>
      </x:c>
      <x:c r="G232" s="3" t="str">
        <x:f t="shared" si="26"/>
        <x:v>OMS2 확인</x:v>
      </x:c>
      <x:c r="H232" s="3" t="str">
        <x:f t="shared" si="27"/>
      </x:c>
      <x:c r="I232" s="3" t="str">
        <x:f t="shared" si="28"/>
      </x:c>
      <x:c r="J232" s="3" t="str">
        <x:f t="shared" si="29"/>
      </x:c>
      <x:c r="K232" s="4" t="str">
        <x:f>IF(A232="","",IFERROR(VLOOKUP(J232,MGMT_RULE!$A:$G,7,FALSE),IFERROR(VLOOKUP(H232,RULE_MAIN!$A:$F,6,FALSE),IFERROR(VLOOKUP(I232,RULE_MAIN!$A:$F,6,FALSE),"관리자 확인"))))</x:f>
      </x:c>
      <x:c r="L232" s="5" t="str">
        <x:f>IF(A232="","",IF(K232="관리자 확인","DNC 차단",IF(ISNUMBER(SEARCH("후보",K232)),"관리자 확인",IFERROR(IF(MATCH(K232,PG_LIST!$A:$A,0)&gt;0,"DNC 가능","Program 파일 없음"),"Program 파일 없음"))))</x:f>
      </x:c>
      <x:c r="M232" s="6" t="str">
        <x:f>IF(A232="","",IF(COUNTIF(MGMT_RULE!$A:$A,J232)&gt;0,"관리번호 전용 RULE",IF(COUNTIF(RULE_MAIN!$A:$A,H232)&gt;0,"정확 RULE",IF(COUNTIF(RULE_MAIN!$A:$A,I232)&gt;0,"ANY RULE","확정 RULE 필요"))))</x:f>
      </x:c>
      <x:c r="N232" s="6" t="str">
        <x:f t="shared" si="30"/>
      </x:c>
      <x:c r="O232" s="6" t="str">
        <x:f t="shared" si="31"/>
      </x:c>
    </x:row>
    <x:row r="233">
      <x:c r="A233" s="2"/>
      <x:c r="B233" s="2"/>
      <x:c r="C233" s="2"/>
      <x:c r="D233" s="2"/>
      <x:c r="E233" s="3" t="str">
        <x:f t="shared" si="24"/>
      </x:c>
      <x:c r="F233" s="3" t="str">
        <x:f t="shared" si="25"/>
      </x:c>
      <x:c r="G233" s="3" t="str">
        <x:f t="shared" si="26"/>
        <x:v>OMS2 확인</x:v>
      </x:c>
      <x:c r="H233" s="3" t="str">
        <x:f t="shared" si="27"/>
      </x:c>
      <x:c r="I233" s="3" t="str">
        <x:f t="shared" si="28"/>
      </x:c>
      <x:c r="J233" s="3" t="str">
        <x:f t="shared" si="29"/>
      </x:c>
      <x:c r="K233" s="4" t="str">
        <x:f>IF(A233="","",IFERROR(VLOOKUP(J233,MGMT_RULE!$A:$G,7,FALSE),IFERROR(VLOOKUP(H233,RULE_MAIN!$A:$F,6,FALSE),IFERROR(VLOOKUP(I233,RULE_MAIN!$A:$F,6,FALSE),"관리자 확인"))))</x:f>
      </x:c>
      <x:c r="L233" s="5" t="str">
        <x:f>IF(A233="","",IF(K233="관리자 확인","DNC 차단",IF(ISNUMBER(SEARCH("후보",K233)),"관리자 확인",IFERROR(IF(MATCH(K233,PG_LIST!$A:$A,0)&gt;0,"DNC 가능","Program 파일 없음"),"Program 파일 없음"))))</x:f>
      </x:c>
      <x:c r="M233" s="6" t="str">
        <x:f>IF(A233="","",IF(COUNTIF(MGMT_RULE!$A:$A,J233)&gt;0,"관리번호 전용 RULE",IF(COUNTIF(RULE_MAIN!$A:$A,H233)&gt;0,"정확 RULE",IF(COUNTIF(RULE_MAIN!$A:$A,I233)&gt;0,"ANY RULE","확정 RULE 필요"))))</x:f>
      </x:c>
      <x:c r="N233" s="6" t="str">
        <x:f t="shared" si="30"/>
      </x:c>
      <x:c r="O233" s="6" t="str">
        <x:f t="shared" si="31"/>
      </x:c>
    </x:row>
    <x:row r="234">
      <x:c r="A234" s="2"/>
      <x:c r="B234" s="2"/>
      <x:c r="C234" s="2"/>
      <x:c r="D234" s="2"/>
      <x:c r="E234" s="3" t="str">
        <x:f t="shared" si="24"/>
      </x:c>
      <x:c r="F234" s="3" t="str">
        <x:f t="shared" si="25"/>
      </x:c>
      <x:c r="G234" s="3" t="str">
        <x:f t="shared" si="26"/>
        <x:v>OMS2 확인</x:v>
      </x:c>
      <x:c r="H234" s="3" t="str">
        <x:f t="shared" si="27"/>
      </x:c>
      <x:c r="I234" s="3" t="str">
        <x:f t="shared" si="28"/>
      </x:c>
      <x:c r="J234" s="3" t="str">
        <x:f t="shared" si="29"/>
      </x:c>
      <x:c r="K234" s="4" t="str">
        <x:f>IF(A234="","",IFERROR(VLOOKUP(J234,MGMT_RULE!$A:$G,7,FALSE),IFERROR(VLOOKUP(H234,RULE_MAIN!$A:$F,6,FALSE),IFERROR(VLOOKUP(I234,RULE_MAIN!$A:$F,6,FALSE),"관리자 확인"))))</x:f>
      </x:c>
      <x:c r="L234" s="5" t="str">
        <x:f>IF(A234="","",IF(K234="관리자 확인","DNC 차단",IF(ISNUMBER(SEARCH("후보",K234)),"관리자 확인",IFERROR(IF(MATCH(K234,PG_LIST!$A:$A,0)&gt;0,"DNC 가능","Program 파일 없음"),"Program 파일 없음"))))</x:f>
      </x:c>
      <x:c r="M234" s="6" t="str">
        <x:f>IF(A234="","",IF(COUNTIF(MGMT_RULE!$A:$A,J234)&gt;0,"관리번호 전용 RULE",IF(COUNTIF(RULE_MAIN!$A:$A,H234)&gt;0,"정확 RULE",IF(COUNTIF(RULE_MAIN!$A:$A,I234)&gt;0,"ANY RULE","확정 RULE 필요"))))</x:f>
      </x:c>
      <x:c r="N234" s="6" t="str">
        <x:f t="shared" si="30"/>
      </x:c>
      <x:c r="O234" s="6" t="str">
        <x:f t="shared" si="31"/>
      </x:c>
    </x:row>
    <x:row r="235">
      <x:c r="A235" s="2"/>
      <x:c r="B235" s="2"/>
      <x:c r="C235" s="2"/>
      <x:c r="D235" s="2"/>
      <x:c r="E235" s="3" t="str">
        <x:f t="shared" si="24"/>
      </x:c>
      <x:c r="F235" s="3" t="str">
        <x:f t="shared" si="25"/>
      </x:c>
      <x:c r="G235" s="3" t="str">
        <x:f t="shared" si="26"/>
        <x:v>OMS2 확인</x:v>
      </x:c>
      <x:c r="H235" s="3" t="str">
        <x:f t="shared" si="27"/>
      </x:c>
      <x:c r="I235" s="3" t="str">
        <x:f t="shared" si="28"/>
      </x:c>
      <x:c r="J235" s="3" t="str">
        <x:f t="shared" si="29"/>
      </x:c>
      <x:c r="K235" s="4" t="str">
        <x:f>IF(A235="","",IFERROR(VLOOKUP(J235,MGMT_RULE!$A:$G,7,FALSE),IFERROR(VLOOKUP(H235,RULE_MAIN!$A:$F,6,FALSE),IFERROR(VLOOKUP(I235,RULE_MAIN!$A:$F,6,FALSE),"관리자 확인"))))</x:f>
      </x:c>
      <x:c r="L235" s="5" t="str">
        <x:f>IF(A235="","",IF(K235="관리자 확인","DNC 차단",IF(ISNUMBER(SEARCH("후보",K235)),"관리자 확인",IFERROR(IF(MATCH(K235,PG_LIST!$A:$A,0)&gt;0,"DNC 가능","Program 파일 없음"),"Program 파일 없음"))))</x:f>
      </x:c>
      <x:c r="M235" s="6" t="str">
        <x:f>IF(A235="","",IF(COUNTIF(MGMT_RULE!$A:$A,J235)&gt;0,"관리번호 전용 RULE",IF(COUNTIF(RULE_MAIN!$A:$A,H235)&gt;0,"정확 RULE",IF(COUNTIF(RULE_MAIN!$A:$A,I235)&gt;0,"ANY RULE","확정 RULE 필요"))))</x:f>
      </x:c>
      <x:c r="N235" s="6" t="str">
        <x:f t="shared" si="30"/>
      </x:c>
      <x:c r="O235" s="6" t="str">
        <x:f t="shared" si="31"/>
      </x:c>
    </x:row>
    <x:row r="236">
      <x:c r="A236" s="2"/>
      <x:c r="B236" s="2"/>
      <x:c r="C236" s="2"/>
      <x:c r="D236" s="2"/>
      <x:c r="E236" s="3" t="str">
        <x:f t="shared" si="24"/>
      </x:c>
      <x:c r="F236" s="3" t="str">
        <x:f t="shared" si="25"/>
      </x:c>
      <x:c r="G236" s="3" t="str">
        <x:f t="shared" si="26"/>
        <x:v>OMS2 확인</x:v>
      </x:c>
      <x:c r="H236" s="3" t="str">
        <x:f t="shared" si="27"/>
      </x:c>
      <x:c r="I236" s="3" t="str">
        <x:f t="shared" si="28"/>
      </x:c>
      <x:c r="J236" s="3" t="str">
        <x:f t="shared" si="29"/>
      </x:c>
      <x:c r="K236" s="4" t="str">
        <x:f>IF(A236="","",IFERROR(VLOOKUP(J236,MGMT_RULE!$A:$G,7,FALSE),IFERROR(VLOOKUP(H236,RULE_MAIN!$A:$F,6,FALSE),IFERROR(VLOOKUP(I236,RULE_MAIN!$A:$F,6,FALSE),"관리자 확인"))))</x:f>
      </x:c>
      <x:c r="L236" s="5" t="str">
        <x:f>IF(A236="","",IF(K236="관리자 확인","DNC 차단",IF(ISNUMBER(SEARCH("후보",K236)),"관리자 확인",IFERROR(IF(MATCH(K236,PG_LIST!$A:$A,0)&gt;0,"DNC 가능","Program 파일 없음"),"Program 파일 없음"))))</x:f>
      </x:c>
      <x:c r="M236" s="6" t="str">
        <x:f>IF(A236="","",IF(COUNTIF(MGMT_RULE!$A:$A,J236)&gt;0,"관리번호 전용 RULE",IF(COUNTIF(RULE_MAIN!$A:$A,H236)&gt;0,"정확 RULE",IF(COUNTIF(RULE_MAIN!$A:$A,I236)&gt;0,"ANY RULE","확정 RULE 필요"))))</x:f>
      </x:c>
      <x:c r="N236" s="6" t="str">
        <x:f t="shared" si="30"/>
      </x:c>
      <x:c r="O236" s="6" t="str">
        <x:f t="shared" si="31"/>
      </x:c>
    </x:row>
    <x:row r="237">
      <x:c r="A237" s="2"/>
      <x:c r="B237" s="2"/>
      <x:c r="C237" s="2"/>
      <x:c r="D237" s="2"/>
      <x:c r="E237" s="3" t="str">
        <x:f t="shared" si="24"/>
      </x:c>
      <x:c r="F237" s="3" t="str">
        <x:f t="shared" si="25"/>
      </x:c>
      <x:c r="G237" s="3" t="str">
        <x:f t="shared" si="26"/>
        <x:v>OMS2 확인</x:v>
      </x:c>
      <x:c r="H237" s="3" t="str">
        <x:f t="shared" si="27"/>
      </x:c>
      <x:c r="I237" s="3" t="str">
        <x:f t="shared" si="28"/>
      </x:c>
      <x:c r="J237" s="3" t="str">
        <x:f t="shared" si="29"/>
      </x:c>
      <x:c r="K237" s="4" t="str">
        <x:f>IF(A237="","",IFERROR(VLOOKUP(J237,MGMT_RULE!$A:$G,7,FALSE),IFERROR(VLOOKUP(H237,RULE_MAIN!$A:$F,6,FALSE),IFERROR(VLOOKUP(I237,RULE_MAIN!$A:$F,6,FALSE),"관리자 확인"))))</x:f>
      </x:c>
      <x:c r="L237" s="5" t="str">
        <x:f>IF(A237="","",IF(K237="관리자 확인","DNC 차단",IF(ISNUMBER(SEARCH("후보",K237)),"관리자 확인",IFERROR(IF(MATCH(K237,PG_LIST!$A:$A,0)&gt;0,"DNC 가능","Program 파일 없음"),"Program 파일 없음"))))</x:f>
      </x:c>
      <x:c r="M237" s="6" t="str">
        <x:f>IF(A237="","",IF(COUNTIF(MGMT_RULE!$A:$A,J237)&gt;0,"관리번호 전용 RULE",IF(COUNTIF(RULE_MAIN!$A:$A,H237)&gt;0,"정확 RULE",IF(COUNTIF(RULE_MAIN!$A:$A,I237)&gt;0,"ANY RULE","확정 RULE 필요"))))</x:f>
      </x:c>
      <x:c r="N237" s="6" t="str">
        <x:f t="shared" si="30"/>
      </x:c>
      <x:c r="O237" s="6" t="str">
        <x:f t="shared" si="31"/>
      </x:c>
    </x:row>
    <x:row r="238">
      <x:c r="A238" s="2"/>
      <x:c r="B238" s="2"/>
      <x:c r="C238" s="2"/>
      <x:c r="D238" s="2"/>
      <x:c r="E238" s="3" t="str">
        <x:f t="shared" si="24"/>
      </x:c>
      <x:c r="F238" s="3" t="str">
        <x:f t="shared" si="25"/>
      </x:c>
      <x:c r="G238" s="3" t="str">
        <x:f t="shared" si="26"/>
        <x:v>OMS2 확인</x:v>
      </x:c>
      <x:c r="H238" s="3" t="str">
        <x:f t="shared" si="27"/>
      </x:c>
      <x:c r="I238" s="3" t="str">
        <x:f t="shared" si="28"/>
      </x:c>
      <x:c r="J238" s="3" t="str">
        <x:f t="shared" si="29"/>
      </x:c>
      <x:c r="K238" s="4" t="str">
        <x:f>IF(A238="","",IFERROR(VLOOKUP(J238,MGMT_RULE!$A:$G,7,FALSE),IFERROR(VLOOKUP(H238,RULE_MAIN!$A:$F,6,FALSE),IFERROR(VLOOKUP(I238,RULE_MAIN!$A:$F,6,FALSE),"관리자 확인"))))</x:f>
      </x:c>
      <x:c r="L238" s="5" t="str">
        <x:f>IF(A238="","",IF(K238="관리자 확인","DNC 차단",IF(ISNUMBER(SEARCH("후보",K238)),"관리자 확인",IFERROR(IF(MATCH(K238,PG_LIST!$A:$A,0)&gt;0,"DNC 가능","Program 파일 없음"),"Program 파일 없음"))))</x:f>
      </x:c>
      <x:c r="M238" s="6" t="str">
        <x:f>IF(A238="","",IF(COUNTIF(MGMT_RULE!$A:$A,J238)&gt;0,"관리번호 전용 RULE",IF(COUNTIF(RULE_MAIN!$A:$A,H238)&gt;0,"정확 RULE",IF(COUNTIF(RULE_MAIN!$A:$A,I238)&gt;0,"ANY RULE","확정 RULE 필요"))))</x:f>
      </x:c>
      <x:c r="N238" s="6" t="str">
        <x:f t="shared" si="30"/>
      </x:c>
      <x:c r="O238" s="6" t="str">
        <x:f t="shared" si="31"/>
      </x:c>
    </x:row>
    <x:row r="239">
      <x:c r="A239" s="2"/>
      <x:c r="B239" s="2"/>
      <x:c r="C239" s="2"/>
      <x:c r="D239" s="2"/>
      <x:c r="E239" s="3" t="str">
        <x:f t="shared" si="24"/>
      </x:c>
      <x:c r="F239" s="3" t="str">
        <x:f t="shared" si="25"/>
      </x:c>
      <x:c r="G239" s="3" t="str">
        <x:f t="shared" si="26"/>
        <x:v>OMS2 확인</x:v>
      </x:c>
      <x:c r="H239" s="3" t="str">
        <x:f t="shared" si="27"/>
      </x:c>
      <x:c r="I239" s="3" t="str">
        <x:f t="shared" si="28"/>
      </x:c>
      <x:c r="J239" s="3" t="str">
        <x:f t="shared" si="29"/>
      </x:c>
      <x:c r="K239" s="4" t="str">
        <x:f>IF(A239="","",IFERROR(VLOOKUP(J239,MGMT_RULE!$A:$G,7,FALSE),IFERROR(VLOOKUP(H239,RULE_MAIN!$A:$F,6,FALSE),IFERROR(VLOOKUP(I239,RULE_MAIN!$A:$F,6,FALSE),"관리자 확인"))))</x:f>
      </x:c>
      <x:c r="L239" s="5" t="str">
        <x:f>IF(A239="","",IF(K239="관리자 확인","DNC 차단",IF(ISNUMBER(SEARCH("후보",K239)),"관리자 확인",IFERROR(IF(MATCH(K239,PG_LIST!$A:$A,0)&gt;0,"DNC 가능","Program 파일 없음"),"Program 파일 없음"))))</x:f>
      </x:c>
      <x:c r="M239" s="6" t="str">
        <x:f>IF(A239="","",IF(COUNTIF(MGMT_RULE!$A:$A,J239)&gt;0,"관리번호 전용 RULE",IF(COUNTIF(RULE_MAIN!$A:$A,H239)&gt;0,"정확 RULE",IF(COUNTIF(RULE_MAIN!$A:$A,I239)&gt;0,"ANY RULE","확정 RULE 필요"))))</x:f>
      </x:c>
      <x:c r="N239" s="6" t="str">
        <x:f t="shared" si="30"/>
      </x:c>
      <x:c r="O239" s="6" t="str">
        <x:f t="shared" si="31"/>
      </x:c>
    </x:row>
    <x:row r="240">
      <x:c r="A240" s="2"/>
      <x:c r="B240" s="2"/>
      <x:c r="C240" s="2"/>
      <x:c r="D240" s="2"/>
      <x:c r="E240" s="3" t="str">
        <x:f t="shared" si="24"/>
      </x:c>
      <x:c r="F240" s="3" t="str">
        <x:f t="shared" si="25"/>
      </x:c>
      <x:c r="G240" s="3" t="str">
        <x:f t="shared" si="26"/>
        <x:v>OMS2 확인</x:v>
      </x:c>
      <x:c r="H240" s="3" t="str">
        <x:f t="shared" si="27"/>
      </x:c>
      <x:c r="I240" s="3" t="str">
        <x:f t="shared" si="28"/>
      </x:c>
      <x:c r="J240" s="3" t="str">
        <x:f t="shared" si="29"/>
      </x:c>
      <x:c r="K240" s="4" t="str">
        <x:f>IF(A240="","",IFERROR(VLOOKUP(J240,MGMT_RULE!$A:$G,7,FALSE),IFERROR(VLOOKUP(H240,RULE_MAIN!$A:$F,6,FALSE),IFERROR(VLOOKUP(I240,RULE_MAIN!$A:$F,6,FALSE),"관리자 확인"))))</x:f>
      </x:c>
      <x:c r="L240" s="5" t="str">
        <x:f>IF(A240="","",IF(K240="관리자 확인","DNC 차단",IF(ISNUMBER(SEARCH("후보",K240)),"관리자 확인",IFERROR(IF(MATCH(K240,PG_LIST!$A:$A,0)&gt;0,"DNC 가능","Program 파일 없음"),"Program 파일 없음"))))</x:f>
      </x:c>
      <x:c r="M240" s="6" t="str">
        <x:f>IF(A240="","",IF(COUNTIF(MGMT_RULE!$A:$A,J240)&gt;0,"관리번호 전용 RULE",IF(COUNTIF(RULE_MAIN!$A:$A,H240)&gt;0,"정확 RULE",IF(COUNTIF(RULE_MAIN!$A:$A,I240)&gt;0,"ANY RULE","확정 RULE 필요"))))</x:f>
      </x:c>
      <x:c r="N240" s="6" t="str">
        <x:f t="shared" si="30"/>
      </x:c>
      <x:c r="O240" s="6" t="str">
        <x:f t="shared" si="31"/>
      </x:c>
    </x:row>
    <x:row r="241">
      <x:c r="A241" s="2"/>
      <x:c r="B241" s="2"/>
      <x:c r="C241" s="2"/>
      <x:c r="D241" s="2"/>
      <x:c r="E241" s="3" t="str">
        <x:f t="shared" si="24"/>
      </x:c>
      <x:c r="F241" s="3" t="str">
        <x:f t="shared" si="25"/>
      </x:c>
      <x:c r="G241" s="3" t="str">
        <x:f t="shared" si="26"/>
        <x:v>OMS2 확인</x:v>
      </x:c>
      <x:c r="H241" s="3" t="str">
        <x:f t="shared" si="27"/>
      </x:c>
      <x:c r="I241" s="3" t="str">
        <x:f t="shared" si="28"/>
      </x:c>
      <x:c r="J241" s="3" t="str">
        <x:f t="shared" si="29"/>
      </x:c>
      <x:c r="K241" s="4" t="str">
        <x:f>IF(A241="","",IFERROR(VLOOKUP(J241,MGMT_RULE!$A:$G,7,FALSE),IFERROR(VLOOKUP(H241,RULE_MAIN!$A:$F,6,FALSE),IFERROR(VLOOKUP(I241,RULE_MAIN!$A:$F,6,FALSE),"관리자 확인"))))</x:f>
      </x:c>
      <x:c r="L241" s="5" t="str">
        <x:f>IF(A241="","",IF(K241="관리자 확인","DNC 차단",IF(ISNUMBER(SEARCH("후보",K241)),"관리자 확인",IFERROR(IF(MATCH(K241,PG_LIST!$A:$A,0)&gt;0,"DNC 가능","Program 파일 없음"),"Program 파일 없음"))))</x:f>
      </x:c>
      <x:c r="M241" s="6" t="str">
        <x:f>IF(A241="","",IF(COUNTIF(MGMT_RULE!$A:$A,J241)&gt;0,"관리번호 전용 RULE",IF(COUNTIF(RULE_MAIN!$A:$A,H241)&gt;0,"정확 RULE",IF(COUNTIF(RULE_MAIN!$A:$A,I241)&gt;0,"ANY RULE","확정 RULE 필요"))))</x:f>
      </x:c>
      <x:c r="N241" s="6" t="str">
        <x:f t="shared" si="30"/>
      </x:c>
      <x:c r="O241" s="6" t="str">
        <x:f t="shared" si="31"/>
      </x:c>
    </x:row>
    <x:row r="242">
      <x:c r="A242" s="2"/>
      <x:c r="B242" s="2"/>
      <x:c r="C242" s="2"/>
      <x:c r="D242" s="2"/>
      <x:c r="E242" s="3" t="str">
        <x:f t="shared" si="24"/>
      </x:c>
      <x:c r="F242" s="3" t="str">
        <x:f t="shared" si="25"/>
      </x:c>
      <x:c r="G242" s="3" t="str">
        <x:f t="shared" si="26"/>
        <x:v>OMS2 확인</x:v>
      </x:c>
      <x:c r="H242" s="3" t="str">
        <x:f t="shared" si="27"/>
      </x:c>
      <x:c r="I242" s="3" t="str">
        <x:f t="shared" si="28"/>
      </x:c>
      <x:c r="J242" s="3" t="str">
        <x:f t="shared" si="29"/>
      </x:c>
      <x:c r="K242" s="4" t="str">
        <x:f>IF(A242="","",IFERROR(VLOOKUP(J242,MGMT_RULE!$A:$G,7,FALSE),IFERROR(VLOOKUP(H242,RULE_MAIN!$A:$F,6,FALSE),IFERROR(VLOOKUP(I242,RULE_MAIN!$A:$F,6,FALSE),"관리자 확인"))))</x:f>
      </x:c>
      <x:c r="L242" s="5" t="str">
        <x:f>IF(A242="","",IF(K242="관리자 확인","DNC 차단",IF(ISNUMBER(SEARCH("후보",K242)),"관리자 확인",IFERROR(IF(MATCH(K242,PG_LIST!$A:$A,0)&gt;0,"DNC 가능","Program 파일 없음"),"Program 파일 없음"))))</x:f>
      </x:c>
      <x:c r="M242" s="6" t="str">
        <x:f>IF(A242="","",IF(COUNTIF(MGMT_RULE!$A:$A,J242)&gt;0,"관리번호 전용 RULE",IF(COUNTIF(RULE_MAIN!$A:$A,H242)&gt;0,"정확 RULE",IF(COUNTIF(RULE_MAIN!$A:$A,I242)&gt;0,"ANY RULE","확정 RULE 필요"))))</x:f>
      </x:c>
      <x:c r="N242" s="6" t="str">
        <x:f t="shared" si="30"/>
      </x:c>
      <x:c r="O242" s="6" t="str">
        <x:f t="shared" si="31"/>
      </x:c>
    </x:row>
    <x:row r="243">
      <x:c r="A243" s="2"/>
      <x:c r="B243" s="2"/>
      <x:c r="C243" s="2"/>
      <x:c r="D243" s="2"/>
      <x:c r="E243" s="3" t="str">
        <x:f t="shared" si="24"/>
      </x:c>
      <x:c r="F243" s="3" t="str">
        <x:f t="shared" si="25"/>
      </x:c>
      <x:c r="G243" s="3" t="str">
        <x:f t="shared" si="26"/>
        <x:v>OMS2 확인</x:v>
      </x:c>
      <x:c r="H243" s="3" t="str">
        <x:f t="shared" si="27"/>
      </x:c>
      <x:c r="I243" s="3" t="str">
        <x:f t="shared" si="28"/>
      </x:c>
      <x:c r="J243" s="3" t="str">
        <x:f t="shared" si="29"/>
      </x:c>
      <x:c r="K243" s="4" t="str">
        <x:f>IF(A243="","",IFERROR(VLOOKUP(J243,MGMT_RULE!$A:$G,7,FALSE),IFERROR(VLOOKUP(H243,RULE_MAIN!$A:$F,6,FALSE),IFERROR(VLOOKUP(I243,RULE_MAIN!$A:$F,6,FALSE),"관리자 확인"))))</x:f>
      </x:c>
      <x:c r="L243" s="5" t="str">
        <x:f>IF(A243="","",IF(K243="관리자 확인","DNC 차단",IF(ISNUMBER(SEARCH("후보",K243)),"관리자 확인",IFERROR(IF(MATCH(K243,PG_LIST!$A:$A,0)&gt;0,"DNC 가능","Program 파일 없음"),"Program 파일 없음"))))</x:f>
      </x:c>
      <x:c r="M243" s="6" t="str">
        <x:f>IF(A243="","",IF(COUNTIF(MGMT_RULE!$A:$A,J243)&gt;0,"관리번호 전용 RULE",IF(COUNTIF(RULE_MAIN!$A:$A,H243)&gt;0,"정확 RULE",IF(COUNTIF(RULE_MAIN!$A:$A,I243)&gt;0,"ANY RULE","확정 RULE 필요"))))</x:f>
      </x:c>
      <x:c r="N243" s="6" t="str">
        <x:f t="shared" si="30"/>
      </x:c>
      <x:c r="O243" s="6" t="str">
        <x:f t="shared" si="31"/>
      </x:c>
    </x:row>
    <x:row r="244">
      <x:c r="A244" s="2"/>
      <x:c r="B244" s="2"/>
      <x:c r="C244" s="2"/>
      <x:c r="D244" s="2"/>
      <x:c r="E244" s="3" t="str">
        <x:f t="shared" si="24"/>
      </x:c>
      <x:c r="F244" s="3" t="str">
        <x:f t="shared" si="25"/>
      </x:c>
      <x:c r="G244" s="3" t="str">
        <x:f t="shared" si="26"/>
        <x:v>OMS2 확인</x:v>
      </x:c>
      <x:c r="H244" s="3" t="str">
        <x:f t="shared" si="27"/>
      </x:c>
      <x:c r="I244" s="3" t="str">
        <x:f t="shared" si="28"/>
      </x:c>
      <x:c r="J244" s="3" t="str">
        <x:f t="shared" si="29"/>
      </x:c>
      <x:c r="K244" s="4" t="str">
        <x:f>IF(A244="","",IFERROR(VLOOKUP(J244,MGMT_RULE!$A:$G,7,FALSE),IFERROR(VLOOKUP(H244,RULE_MAIN!$A:$F,6,FALSE),IFERROR(VLOOKUP(I244,RULE_MAIN!$A:$F,6,FALSE),"관리자 확인"))))</x:f>
      </x:c>
      <x:c r="L244" s="5" t="str">
        <x:f>IF(A244="","",IF(K244="관리자 확인","DNC 차단",IF(ISNUMBER(SEARCH("후보",K244)),"관리자 확인",IFERROR(IF(MATCH(K244,PG_LIST!$A:$A,0)&gt;0,"DNC 가능","Program 파일 없음"),"Program 파일 없음"))))</x:f>
      </x:c>
      <x:c r="M244" s="6" t="str">
        <x:f>IF(A244="","",IF(COUNTIF(MGMT_RULE!$A:$A,J244)&gt;0,"관리번호 전용 RULE",IF(COUNTIF(RULE_MAIN!$A:$A,H244)&gt;0,"정확 RULE",IF(COUNTIF(RULE_MAIN!$A:$A,I244)&gt;0,"ANY RULE","확정 RULE 필요"))))</x:f>
      </x:c>
      <x:c r="N244" s="6" t="str">
        <x:f t="shared" si="30"/>
      </x:c>
      <x:c r="O244" s="6" t="str">
        <x:f t="shared" si="31"/>
      </x:c>
    </x:row>
    <x:row r="245">
      <x:c r="A245" s="2"/>
      <x:c r="B245" s="2"/>
      <x:c r="C245" s="2"/>
      <x:c r="D245" s="2"/>
      <x:c r="E245" s="3" t="str">
        <x:f t="shared" si="24"/>
      </x:c>
      <x:c r="F245" s="3" t="str">
        <x:f t="shared" si="25"/>
      </x:c>
      <x:c r="G245" s="3" t="str">
        <x:f t="shared" si="26"/>
        <x:v>OMS2 확인</x:v>
      </x:c>
      <x:c r="H245" s="3" t="str">
        <x:f t="shared" si="27"/>
      </x:c>
      <x:c r="I245" s="3" t="str">
        <x:f t="shared" si="28"/>
      </x:c>
      <x:c r="J245" s="3" t="str">
        <x:f t="shared" si="29"/>
      </x:c>
      <x:c r="K245" s="4" t="str">
        <x:f>IF(A245="","",IFERROR(VLOOKUP(J245,MGMT_RULE!$A:$G,7,FALSE),IFERROR(VLOOKUP(H245,RULE_MAIN!$A:$F,6,FALSE),IFERROR(VLOOKUP(I245,RULE_MAIN!$A:$F,6,FALSE),"관리자 확인"))))</x:f>
      </x:c>
      <x:c r="L245" s="5" t="str">
        <x:f>IF(A245="","",IF(K245="관리자 확인","DNC 차단",IF(ISNUMBER(SEARCH("후보",K245)),"관리자 확인",IFERROR(IF(MATCH(K245,PG_LIST!$A:$A,0)&gt;0,"DNC 가능","Program 파일 없음"),"Program 파일 없음"))))</x:f>
      </x:c>
      <x:c r="M245" s="6" t="str">
        <x:f>IF(A245="","",IF(COUNTIF(MGMT_RULE!$A:$A,J245)&gt;0,"관리번호 전용 RULE",IF(COUNTIF(RULE_MAIN!$A:$A,H245)&gt;0,"정확 RULE",IF(COUNTIF(RULE_MAIN!$A:$A,I245)&gt;0,"ANY RULE","확정 RULE 필요"))))</x:f>
      </x:c>
      <x:c r="N245" s="6" t="str">
        <x:f t="shared" si="30"/>
      </x:c>
      <x:c r="O245" s="6" t="str">
        <x:f t="shared" si="31"/>
      </x:c>
    </x:row>
    <x:row r="246">
      <x:c r="A246" s="2"/>
      <x:c r="B246" s="2"/>
      <x:c r="C246" s="2"/>
      <x:c r="D246" s="2"/>
      <x:c r="E246" s="3" t="str">
        <x:f t="shared" si="24"/>
      </x:c>
      <x:c r="F246" s="3" t="str">
        <x:f t="shared" si="25"/>
      </x:c>
      <x:c r="G246" s="3" t="str">
        <x:f t="shared" si="26"/>
        <x:v>OMS2 확인</x:v>
      </x:c>
      <x:c r="H246" s="3" t="str">
        <x:f t="shared" si="27"/>
      </x:c>
      <x:c r="I246" s="3" t="str">
        <x:f t="shared" si="28"/>
      </x:c>
      <x:c r="J246" s="3" t="str">
        <x:f t="shared" si="29"/>
      </x:c>
      <x:c r="K246" s="4" t="str">
        <x:f>IF(A246="","",IFERROR(VLOOKUP(J246,MGMT_RULE!$A:$G,7,FALSE),IFERROR(VLOOKUP(H246,RULE_MAIN!$A:$F,6,FALSE),IFERROR(VLOOKUP(I246,RULE_MAIN!$A:$F,6,FALSE),"관리자 확인"))))</x:f>
      </x:c>
      <x:c r="L246" s="5" t="str">
        <x:f>IF(A246="","",IF(K246="관리자 확인","DNC 차단",IF(ISNUMBER(SEARCH("후보",K246)),"관리자 확인",IFERROR(IF(MATCH(K246,PG_LIST!$A:$A,0)&gt;0,"DNC 가능","Program 파일 없음"),"Program 파일 없음"))))</x:f>
      </x:c>
      <x:c r="M246" s="6" t="str">
        <x:f>IF(A246="","",IF(COUNTIF(MGMT_RULE!$A:$A,J246)&gt;0,"관리번호 전용 RULE",IF(COUNTIF(RULE_MAIN!$A:$A,H246)&gt;0,"정확 RULE",IF(COUNTIF(RULE_MAIN!$A:$A,I246)&gt;0,"ANY RULE","확정 RULE 필요"))))</x:f>
      </x:c>
      <x:c r="N246" s="6" t="str">
        <x:f t="shared" si="30"/>
      </x:c>
      <x:c r="O246" s="6" t="str">
        <x:f t="shared" si="31"/>
      </x:c>
    </x:row>
    <x:row r="247">
      <x:c r="A247" s="2"/>
      <x:c r="B247" s="2"/>
      <x:c r="C247" s="2"/>
      <x:c r="D247" s="2"/>
      <x:c r="E247" s="3" t="str">
        <x:f t="shared" si="24"/>
      </x:c>
      <x:c r="F247" s="3" t="str">
        <x:f t="shared" si="25"/>
      </x:c>
      <x:c r="G247" s="3" t="str">
        <x:f t="shared" si="26"/>
        <x:v>OMS2 확인</x:v>
      </x:c>
      <x:c r="H247" s="3" t="str">
        <x:f t="shared" si="27"/>
      </x:c>
      <x:c r="I247" s="3" t="str">
        <x:f t="shared" si="28"/>
      </x:c>
      <x:c r="J247" s="3" t="str">
        <x:f t="shared" si="29"/>
      </x:c>
      <x:c r="K247" s="4" t="str">
        <x:f>IF(A247="","",IFERROR(VLOOKUP(J247,MGMT_RULE!$A:$G,7,FALSE),IFERROR(VLOOKUP(H247,RULE_MAIN!$A:$F,6,FALSE),IFERROR(VLOOKUP(I247,RULE_MAIN!$A:$F,6,FALSE),"관리자 확인"))))</x:f>
      </x:c>
      <x:c r="L247" s="5" t="str">
        <x:f>IF(A247="","",IF(K247="관리자 확인","DNC 차단",IF(ISNUMBER(SEARCH("후보",K247)),"관리자 확인",IFERROR(IF(MATCH(K247,PG_LIST!$A:$A,0)&gt;0,"DNC 가능","Program 파일 없음"),"Program 파일 없음"))))</x:f>
      </x:c>
      <x:c r="M247" s="6" t="str">
        <x:f>IF(A247="","",IF(COUNTIF(MGMT_RULE!$A:$A,J247)&gt;0,"관리번호 전용 RULE",IF(COUNTIF(RULE_MAIN!$A:$A,H247)&gt;0,"정확 RULE",IF(COUNTIF(RULE_MAIN!$A:$A,I247)&gt;0,"ANY RULE","확정 RULE 필요"))))</x:f>
      </x:c>
      <x:c r="N247" s="6" t="str">
        <x:f t="shared" si="30"/>
      </x:c>
      <x:c r="O247" s="6" t="str">
        <x:f t="shared" si="31"/>
      </x:c>
    </x:row>
    <x:row r="248">
      <x:c r="A248" s="2"/>
      <x:c r="B248" s="2"/>
      <x:c r="C248" s="2"/>
      <x:c r="D248" s="2"/>
      <x:c r="E248" s="3" t="str">
        <x:f t="shared" si="24"/>
      </x:c>
      <x:c r="F248" s="3" t="str">
        <x:f t="shared" si="25"/>
      </x:c>
      <x:c r="G248" s="3" t="str">
        <x:f t="shared" si="26"/>
        <x:v>OMS2 확인</x:v>
      </x:c>
      <x:c r="H248" s="3" t="str">
        <x:f t="shared" si="27"/>
      </x:c>
      <x:c r="I248" s="3" t="str">
        <x:f t="shared" si="28"/>
      </x:c>
      <x:c r="J248" s="3" t="str">
        <x:f t="shared" si="29"/>
      </x:c>
      <x:c r="K248" s="4" t="str">
        <x:f>IF(A248="","",IFERROR(VLOOKUP(J248,MGMT_RULE!$A:$G,7,FALSE),IFERROR(VLOOKUP(H248,RULE_MAIN!$A:$F,6,FALSE),IFERROR(VLOOKUP(I248,RULE_MAIN!$A:$F,6,FALSE),"관리자 확인"))))</x:f>
      </x:c>
      <x:c r="L248" s="5" t="str">
        <x:f>IF(A248="","",IF(K248="관리자 확인","DNC 차단",IF(ISNUMBER(SEARCH("후보",K248)),"관리자 확인",IFERROR(IF(MATCH(K248,PG_LIST!$A:$A,0)&gt;0,"DNC 가능","Program 파일 없음"),"Program 파일 없음"))))</x:f>
      </x:c>
      <x:c r="M248" s="6" t="str">
        <x:f>IF(A248="","",IF(COUNTIF(MGMT_RULE!$A:$A,J248)&gt;0,"관리번호 전용 RULE",IF(COUNTIF(RULE_MAIN!$A:$A,H248)&gt;0,"정확 RULE",IF(COUNTIF(RULE_MAIN!$A:$A,I248)&gt;0,"ANY RULE","확정 RULE 필요"))))</x:f>
      </x:c>
      <x:c r="N248" s="6" t="str">
        <x:f t="shared" si="30"/>
      </x:c>
      <x:c r="O248" s="6" t="str">
        <x:f t="shared" si="31"/>
      </x:c>
    </x:row>
    <x:row r="249">
      <x:c r="A249" s="2"/>
      <x:c r="B249" s="2"/>
      <x:c r="C249" s="2"/>
      <x:c r="D249" s="2"/>
      <x:c r="E249" s="3" t="str">
        <x:f t="shared" si="24"/>
      </x:c>
      <x:c r="F249" s="3" t="str">
        <x:f t="shared" si="25"/>
      </x:c>
      <x:c r="G249" s="3" t="str">
        <x:f t="shared" si="26"/>
        <x:v>OMS2 확인</x:v>
      </x:c>
      <x:c r="H249" s="3" t="str">
        <x:f t="shared" si="27"/>
      </x:c>
      <x:c r="I249" s="3" t="str">
        <x:f t="shared" si="28"/>
      </x:c>
      <x:c r="J249" s="3" t="str">
        <x:f t="shared" si="29"/>
      </x:c>
      <x:c r="K249" s="4" t="str">
        <x:f>IF(A249="","",IFERROR(VLOOKUP(J249,MGMT_RULE!$A:$G,7,FALSE),IFERROR(VLOOKUP(H249,RULE_MAIN!$A:$F,6,FALSE),IFERROR(VLOOKUP(I249,RULE_MAIN!$A:$F,6,FALSE),"관리자 확인"))))</x:f>
      </x:c>
      <x:c r="L249" s="5" t="str">
        <x:f>IF(A249="","",IF(K249="관리자 확인","DNC 차단",IF(ISNUMBER(SEARCH("후보",K249)),"관리자 확인",IFERROR(IF(MATCH(K249,PG_LIST!$A:$A,0)&gt;0,"DNC 가능","Program 파일 없음"),"Program 파일 없음"))))</x:f>
      </x:c>
      <x:c r="M249" s="6" t="str">
        <x:f>IF(A249="","",IF(COUNTIF(MGMT_RULE!$A:$A,J249)&gt;0,"관리번호 전용 RULE",IF(COUNTIF(RULE_MAIN!$A:$A,H249)&gt;0,"정확 RULE",IF(COUNTIF(RULE_MAIN!$A:$A,I249)&gt;0,"ANY RULE","확정 RULE 필요"))))</x:f>
      </x:c>
      <x:c r="N249" s="6" t="str">
        <x:f t="shared" si="30"/>
      </x:c>
      <x:c r="O249" s="6" t="str">
        <x:f t="shared" si="31"/>
      </x:c>
    </x:row>
    <x:row r="250">
      <x:c r="A250" s="2"/>
      <x:c r="B250" s="2"/>
      <x:c r="C250" s="2"/>
      <x:c r="D250" s="2"/>
      <x:c r="E250" s="3" t="str">
        <x:f t="shared" si="24"/>
      </x:c>
      <x:c r="F250" s="3" t="str">
        <x:f t="shared" si="25"/>
      </x:c>
      <x:c r="G250" s="3" t="str">
        <x:f t="shared" si="26"/>
        <x:v>OMS2 확인</x:v>
      </x:c>
      <x:c r="H250" s="3" t="str">
        <x:f t="shared" si="27"/>
      </x:c>
      <x:c r="I250" s="3" t="str">
        <x:f t="shared" si="28"/>
      </x:c>
      <x:c r="J250" s="3" t="str">
        <x:f t="shared" si="29"/>
      </x:c>
      <x:c r="K250" s="4" t="str">
        <x:f>IF(A250="","",IFERROR(VLOOKUP(J250,MGMT_RULE!$A:$G,7,FALSE),IFERROR(VLOOKUP(H250,RULE_MAIN!$A:$F,6,FALSE),IFERROR(VLOOKUP(I250,RULE_MAIN!$A:$F,6,FALSE),"관리자 확인"))))</x:f>
      </x:c>
      <x:c r="L250" s="5" t="str">
        <x:f>IF(A250="","",IF(K250="관리자 확인","DNC 차단",IF(ISNUMBER(SEARCH("후보",K250)),"관리자 확인",IFERROR(IF(MATCH(K250,PG_LIST!$A:$A,0)&gt;0,"DNC 가능","Program 파일 없음"),"Program 파일 없음"))))</x:f>
      </x:c>
      <x:c r="M250" s="6" t="str">
        <x:f>IF(A250="","",IF(COUNTIF(MGMT_RULE!$A:$A,J250)&gt;0,"관리번호 전용 RULE",IF(COUNTIF(RULE_MAIN!$A:$A,H250)&gt;0,"정확 RULE",IF(COUNTIF(RULE_MAIN!$A:$A,I250)&gt;0,"ANY RULE","확정 RULE 필요"))))</x:f>
      </x:c>
      <x:c r="N250" s="6" t="str">
        <x:f t="shared" si="30"/>
      </x:c>
      <x:c r="O250" s="6" t="str">
        <x:f t="shared" si="31"/>
      </x:c>
    </x:row>
    <x:row r="251">
      <x:c r="A251" s="2"/>
      <x:c r="B251" s="2"/>
      <x:c r="C251" s="2"/>
      <x:c r="D251" s="2"/>
      <x:c r="E251" s="3" t="str">
        <x:f t="shared" si="24"/>
      </x:c>
      <x:c r="F251" s="3" t="str">
        <x:f t="shared" si="25"/>
      </x:c>
      <x:c r="G251" s="3" t="str">
        <x:f t="shared" si="26"/>
        <x:v>OMS2 확인</x:v>
      </x:c>
      <x:c r="H251" s="3" t="str">
        <x:f t="shared" si="27"/>
      </x:c>
      <x:c r="I251" s="3" t="str">
        <x:f t="shared" si="28"/>
      </x:c>
      <x:c r="J251" s="3" t="str">
        <x:f t="shared" si="29"/>
      </x:c>
      <x:c r="K251" s="4" t="str">
        <x:f>IF(A251="","",IFERROR(VLOOKUP(J251,MGMT_RULE!$A:$G,7,FALSE),IFERROR(VLOOKUP(H251,RULE_MAIN!$A:$F,6,FALSE),IFERROR(VLOOKUP(I251,RULE_MAIN!$A:$F,6,FALSE),"관리자 확인"))))</x:f>
      </x:c>
      <x:c r="L251" s="5" t="str">
        <x:f>IF(A251="","",IF(K251="관리자 확인","DNC 차단",IF(ISNUMBER(SEARCH("후보",K251)),"관리자 확인",IFERROR(IF(MATCH(K251,PG_LIST!$A:$A,0)&gt;0,"DNC 가능","Program 파일 없음"),"Program 파일 없음"))))</x:f>
      </x:c>
      <x:c r="M251" s="6" t="str">
        <x:f>IF(A251="","",IF(COUNTIF(MGMT_RULE!$A:$A,J251)&gt;0,"관리번호 전용 RULE",IF(COUNTIF(RULE_MAIN!$A:$A,H251)&gt;0,"정확 RULE",IF(COUNTIF(RULE_MAIN!$A:$A,I251)&gt;0,"ANY RULE","확정 RULE 필요"))))</x:f>
      </x:c>
      <x:c r="N251" s="6" t="str">
        <x:f t="shared" si="30"/>
      </x:c>
      <x:c r="O251" s="6" t="str">
        <x:f t="shared" si="31"/>
      </x:c>
    </x:row>
    <x:row r="252">
      <x:c r="A252" s="2"/>
      <x:c r="B252" s="2"/>
      <x:c r="C252" s="2"/>
      <x:c r="D252" s="2"/>
      <x:c r="E252" s="3" t="str">
        <x:f t="shared" si="24"/>
      </x:c>
      <x:c r="F252" s="3" t="str">
        <x:f t="shared" si="25"/>
      </x:c>
      <x:c r="G252" s="3" t="str">
        <x:f t="shared" si="26"/>
        <x:v>OMS2 확인</x:v>
      </x:c>
      <x:c r="H252" s="3" t="str">
        <x:f t="shared" si="27"/>
      </x:c>
      <x:c r="I252" s="3" t="str">
        <x:f t="shared" si="28"/>
      </x:c>
      <x:c r="J252" s="3" t="str">
        <x:f t="shared" si="29"/>
      </x:c>
      <x:c r="K252" s="4" t="str">
        <x:f>IF(A252="","",IFERROR(VLOOKUP(J252,MGMT_RULE!$A:$G,7,FALSE),IFERROR(VLOOKUP(H252,RULE_MAIN!$A:$F,6,FALSE),IFERROR(VLOOKUP(I252,RULE_MAIN!$A:$F,6,FALSE),"관리자 확인"))))</x:f>
      </x:c>
      <x:c r="L252" s="5" t="str">
        <x:f>IF(A252="","",IF(K252="관리자 확인","DNC 차단",IF(ISNUMBER(SEARCH("후보",K252)),"관리자 확인",IFERROR(IF(MATCH(K252,PG_LIST!$A:$A,0)&gt;0,"DNC 가능","Program 파일 없음"),"Program 파일 없음"))))</x:f>
      </x:c>
      <x:c r="M252" s="6" t="str">
        <x:f>IF(A252="","",IF(COUNTIF(MGMT_RULE!$A:$A,J252)&gt;0,"관리번호 전용 RULE",IF(COUNTIF(RULE_MAIN!$A:$A,H252)&gt;0,"정확 RULE",IF(COUNTIF(RULE_MAIN!$A:$A,I252)&gt;0,"ANY RULE","확정 RULE 필요"))))</x:f>
      </x:c>
      <x:c r="N252" s="6" t="str">
        <x:f t="shared" si="30"/>
      </x:c>
      <x:c r="O252" s="6" t="str">
        <x:f t="shared" si="31"/>
      </x:c>
    </x:row>
    <x:row r="253">
      <x:c r="A253" s="2"/>
      <x:c r="B253" s="2"/>
      <x:c r="C253" s="2"/>
      <x:c r="D253" s="2"/>
      <x:c r="E253" s="3" t="str">
        <x:f t="shared" si="24"/>
      </x:c>
      <x:c r="F253" s="3" t="str">
        <x:f t="shared" si="25"/>
      </x:c>
      <x:c r="G253" s="3" t="str">
        <x:f t="shared" si="26"/>
        <x:v>OMS2 확인</x:v>
      </x:c>
      <x:c r="H253" s="3" t="str">
        <x:f t="shared" si="27"/>
      </x:c>
      <x:c r="I253" s="3" t="str">
        <x:f t="shared" si="28"/>
      </x:c>
      <x:c r="J253" s="3" t="str">
        <x:f t="shared" si="29"/>
      </x:c>
      <x:c r="K253" s="4" t="str">
        <x:f>IF(A253="","",IFERROR(VLOOKUP(J253,MGMT_RULE!$A:$G,7,FALSE),IFERROR(VLOOKUP(H253,RULE_MAIN!$A:$F,6,FALSE),IFERROR(VLOOKUP(I253,RULE_MAIN!$A:$F,6,FALSE),"관리자 확인"))))</x:f>
      </x:c>
      <x:c r="L253" s="5" t="str">
        <x:f>IF(A253="","",IF(K253="관리자 확인","DNC 차단",IF(ISNUMBER(SEARCH("후보",K253)),"관리자 확인",IFERROR(IF(MATCH(K253,PG_LIST!$A:$A,0)&gt;0,"DNC 가능","Program 파일 없음"),"Program 파일 없음"))))</x:f>
      </x:c>
      <x:c r="M253" s="6" t="str">
        <x:f>IF(A253="","",IF(COUNTIF(MGMT_RULE!$A:$A,J253)&gt;0,"관리번호 전용 RULE",IF(COUNTIF(RULE_MAIN!$A:$A,H253)&gt;0,"정확 RULE",IF(COUNTIF(RULE_MAIN!$A:$A,I253)&gt;0,"ANY RULE","확정 RULE 필요"))))</x:f>
      </x:c>
      <x:c r="N253" s="6" t="str">
        <x:f t="shared" si="30"/>
      </x:c>
      <x:c r="O253" s="6" t="str">
        <x:f t="shared" si="31"/>
      </x:c>
    </x:row>
    <x:row r="254">
      <x:c r="A254" s="2"/>
      <x:c r="B254" s="2"/>
      <x:c r="C254" s="2"/>
      <x:c r="D254" s="2"/>
      <x:c r="E254" s="3" t="str">
        <x:f t="shared" si="24"/>
      </x:c>
      <x:c r="F254" s="3" t="str">
        <x:f t="shared" si="25"/>
      </x:c>
      <x:c r="G254" s="3" t="str">
        <x:f t="shared" si="26"/>
        <x:v>OMS2 확인</x:v>
      </x:c>
      <x:c r="H254" s="3" t="str">
        <x:f t="shared" si="27"/>
      </x:c>
      <x:c r="I254" s="3" t="str">
        <x:f t="shared" si="28"/>
      </x:c>
      <x:c r="J254" s="3" t="str">
        <x:f t="shared" si="29"/>
      </x:c>
      <x:c r="K254" s="4" t="str">
        <x:f>IF(A254="","",IFERROR(VLOOKUP(J254,MGMT_RULE!$A:$G,7,FALSE),IFERROR(VLOOKUP(H254,RULE_MAIN!$A:$F,6,FALSE),IFERROR(VLOOKUP(I254,RULE_MAIN!$A:$F,6,FALSE),"관리자 확인"))))</x:f>
      </x:c>
      <x:c r="L254" s="5" t="str">
        <x:f>IF(A254="","",IF(K254="관리자 확인","DNC 차단",IF(ISNUMBER(SEARCH("후보",K254)),"관리자 확인",IFERROR(IF(MATCH(K254,PG_LIST!$A:$A,0)&gt;0,"DNC 가능","Program 파일 없음"),"Program 파일 없음"))))</x:f>
      </x:c>
      <x:c r="M254" s="6" t="str">
        <x:f>IF(A254="","",IF(COUNTIF(MGMT_RULE!$A:$A,J254)&gt;0,"관리번호 전용 RULE",IF(COUNTIF(RULE_MAIN!$A:$A,H254)&gt;0,"정확 RULE",IF(COUNTIF(RULE_MAIN!$A:$A,I254)&gt;0,"ANY RULE","확정 RULE 필요"))))</x:f>
      </x:c>
      <x:c r="N254" s="6" t="str">
        <x:f t="shared" si="30"/>
      </x:c>
      <x:c r="O254" s="6" t="str">
        <x:f t="shared" si="31"/>
      </x:c>
    </x:row>
    <x:row r="255">
      <x:c r="A255" s="2"/>
      <x:c r="B255" s="2"/>
      <x:c r="C255" s="2"/>
      <x:c r="D255" s="2"/>
      <x:c r="E255" s="3" t="str">
        <x:f t="shared" si="24"/>
      </x:c>
      <x:c r="F255" s="3" t="str">
        <x:f t="shared" si="25"/>
      </x:c>
      <x:c r="G255" s="3" t="str">
        <x:f t="shared" si="26"/>
        <x:v>OMS2 확인</x:v>
      </x:c>
      <x:c r="H255" s="3" t="str">
        <x:f t="shared" si="27"/>
      </x:c>
      <x:c r="I255" s="3" t="str">
        <x:f t="shared" si="28"/>
      </x:c>
      <x:c r="J255" s="3" t="str">
        <x:f t="shared" si="29"/>
      </x:c>
      <x:c r="K255" s="4" t="str">
        <x:f>IF(A255="","",IFERROR(VLOOKUP(J255,MGMT_RULE!$A:$G,7,FALSE),IFERROR(VLOOKUP(H255,RULE_MAIN!$A:$F,6,FALSE),IFERROR(VLOOKUP(I255,RULE_MAIN!$A:$F,6,FALSE),"관리자 확인"))))</x:f>
      </x:c>
      <x:c r="L255" s="5" t="str">
        <x:f>IF(A255="","",IF(K255="관리자 확인","DNC 차단",IF(ISNUMBER(SEARCH("후보",K255)),"관리자 확인",IFERROR(IF(MATCH(K255,PG_LIST!$A:$A,0)&gt;0,"DNC 가능","Program 파일 없음"),"Program 파일 없음"))))</x:f>
      </x:c>
      <x:c r="M255" s="6" t="str">
        <x:f>IF(A255="","",IF(COUNTIF(MGMT_RULE!$A:$A,J255)&gt;0,"관리번호 전용 RULE",IF(COUNTIF(RULE_MAIN!$A:$A,H255)&gt;0,"정확 RULE",IF(COUNTIF(RULE_MAIN!$A:$A,I255)&gt;0,"ANY RULE","확정 RULE 필요"))))</x:f>
      </x:c>
      <x:c r="N255" s="6" t="str">
        <x:f t="shared" si="30"/>
      </x:c>
      <x:c r="O255" s="6" t="str">
        <x:f t="shared" si="31"/>
      </x:c>
    </x:row>
    <x:row r="256">
      <x:c r="A256" s="2"/>
      <x:c r="B256" s="2"/>
      <x:c r="C256" s="2"/>
      <x:c r="D256" s="2"/>
      <x:c r="E256" s="3" t="str">
        <x:f t="shared" si="24"/>
      </x:c>
      <x:c r="F256" s="3" t="str">
        <x:f t="shared" si="25"/>
      </x:c>
      <x:c r="G256" s="3" t="str">
        <x:f t="shared" si="26"/>
        <x:v>OMS2 확인</x:v>
      </x:c>
      <x:c r="H256" s="3" t="str">
        <x:f t="shared" si="27"/>
      </x:c>
      <x:c r="I256" s="3" t="str">
        <x:f t="shared" si="28"/>
      </x:c>
      <x:c r="J256" s="3" t="str">
        <x:f t="shared" si="29"/>
      </x:c>
      <x:c r="K256" s="4" t="str">
        <x:f>IF(A256="","",IFERROR(VLOOKUP(J256,MGMT_RULE!$A:$G,7,FALSE),IFERROR(VLOOKUP(H256,RULE_MAIN!$A:$F,6,FALSE),IFERROR(VLOOKUP(I256,RULE_MAIN!$A:$F,6,FALSE),"관리자 확인"))))</x:f>
      </x:c>
      <x:c r="L256" s="5" t="str">
        <x:f>IF(A256="","",IF(K256="관리자 확인","DNC 차단",IF(ISNUMBER(SEARCH("후보",K256)),"관리자 확인",IFERROR(IF(MATCH(K256,PG_LIST!$A:$A,0)&gt;0,"DNC 가능","Program 파일 없음"),"Program 파일 없음"))))</x:f>
      </x:c>
      <x:c r="M256" s="6" t="str">
        <x:f>IF(A256="","",IF(COUNTIF(MGMT_RULE!$A:$A,J256)&gt;0,"관리번호 전용 RULE",IF(COUNTIF(RULE_MAIN!$A:$A,H256)&gt;0,"정확 RULE",IF(COUNTIF(RULE_MAIN!$A:$A,I256)&gt;0,"ANY RULE","확정 RULE 필요"))))</x:f>
      </x:c>
      <x:c r="N256" s="6" t="str">
        <x:f t="shared" si="30"/>
      </x:c>
      <x:c r="O256" s="6" t="str">
        <x:f t="shared" si="31"/>
      </x:c>
    </x:row>
    <x:row r="257">
      <x:c r="A257" s="2"/>
      <x:c r="B257" s="2"/>
      <x:c r="C257" s="2"/>
      <x:c r="D257" s="2"/>
      <x:c r="E257" s="3" t="str">
        <x:f t="shared" si="24"/>
      </x:c>
      <x:c r="F257" s="3" t="str">
        <x:f t="shared" si="25"/>
      </x:c>
      <x:c r="G257" s="3" t="str">
        <x:f t="shared" si="26"/>
        <x:v>OMS2 확인</x:v>
      </x:c>
      <x:c r="H257" s="3" t="str">
        <x:f t="shared" si="27"/>
      </x:c>
      <x:c r="I257" s="3" t="str">
        <x:f t="shared" si="28"/>
      </x:c>
      <x:c r="J257" s="3" t="str">
        <x:f t="shared" si="29"/>
      </x:c>
      <x:c r="K257" s="4" t="str">
        <x:f>IF(A257="","",IFERROR(VLOOKUP(J257,MGMT_RULE!$A:$G,7,FALSE),IFERROR(VLOOKUP(H257,RULE_MAIN!$A:$F,6,FALSE),IFERROR(VLOOKUP(I257,RULE_MAIN!$A:$F,6,FALSE),"관리자 확인"))))</x:f>
      </x:c>
      <x:c r="L257" s="5" t="str">
        <x:f>IF(A257="","",IF(K257="관리자 확인","DNC 차단",IF(ISNUMBER(SEARCH("후보",K257)),"관리자 확인",IFERROR(IF(MATCH(K257,PG_LIST!$A:$A,0)&gt;0,"DNC 가능","Program 파일 없음"),"Program 파일 없음"))))</x:f>
      </x:c>
      <x:c r="M257" s="6" t="str">
        <x:f>IF(A257="","",IF(COUNTIF(MGMT_RULE!$A:$A,J257)&gt;0,"관리번호 전용 RULE",IF(COUNTIF(RULE_MAIN!$A:$A,H257)&gt;0,"정확 RULE",IF(COUNTIF(RULE_MAIN!$A:$A,I257)&gt;0,"ANY RULE","확정 RULE 필요"))))</x:f>
      </x:c>
      <x:c r="N257" s="6" t="str">
        <x:f t="shared" si="30"/>
      </x:c>
      <x:c r="O257" s="6" t="str">
        <x:f t="shared" si="31"/>
      </x:c>
    </x:row>
    <x:row r="258">
      <x:c r="A258" s="2"/>
      <x:c r="B258" s="2"/>
      <x:c r="C258" s="2"/>
      <x:c r="D258" s="2"/>
      <x:c r="E258" s="3" t="str">
        <x:f t="shared" si="24"/>
      </x:c>
      <x:c r="F258" s="3" t="str">
        <x:f t="shared" si="25"/>
      </x:c>
      <x:c r="G258" s="3" t="str">
        <x:f t="shared" si="26"/>
        <x:v>OMS2 확인</x:v>
      </x:c>
      <x:c r="H258" s="3" t="str">
        <x:f t="shared" si="27"/>
      </x:c>
      <x:c r="I258" s="3" t="str">
        <x:f t="shared" si="28"/>
      </x:c>
      <x:c r="J258" s="3" t="str">
        <x:f t="shared" si="29"/>
      </x:c>
      <x:c r="K258" s="4" t="str">
        <x:f>IF(A258="","",IFERROR(VLOOKUP(J258,MGMT_RULE!$A:$G,7,FALSE),IFERROR(VLOOKUP(H258,RULE_MAIN!$A:$F,6,FALSE),IFERROR(VLOOKUP(I258,RULE_MAIN!$A:$F,6,FALSE),"관리자 확인"))))</x:f>
      </x:c>
      <x:c r="L258" s="5" t="str">
        <x:f>IF(A258="","",IF(K258="관리자 확인","DNC 차단",IF(ISNUMBER(SEARCH("후보",K258)),"관리자 확인",IFERROR(IF(MATCH(K258,PG_LIST!$A:$A,0)&gt;0,"DNC 가능","Program 파일 없음"),"Program 파일 없음"))))</x:f>
      </x:c>
      <x:c r="M258" s="6" t="str">
        <x:f>IF(A258="","",IF(COUNTIF(MGMT_RULE!$A:$A,J258)&gt;0,"관리번호 전용 RULE",IF(COUNTIF(RULE_MAIN!$A:$A,H258)&gt;0,"정확 RULE",IF(COUNTIF(RULE_MAIN!$A:$A,I258)&gt;0,"ANY RULE","확정 RULE 필요"))))</x:f>
      </x:c>
      <x:c r="N258" s="6" t="str">
        <x:f t="shared" si="30"/>
      </x:c>
      <x:c r="O258" s="6" t="str">
        <x:f t="shared" si="31"/>
      </x:c>
    </x:row>
    <x:row r="259">
      <x:c r="A259" s="2"/>
      <x:c r="B259" s="2"/>
      <x:c r="C259" s="2"/>
      <x:c r="D259" s="2"/>
      <x:c r="E259" s="3" t="str">
        <x:f t="shared" si="24"/>
      </x:c>
      <x:c r="F259" s="3" t="str">
        <x:f t="shared" si="25"/>
      </x:c>
      <x:c r="G259" s="3" t="str">
        <x:f t="shared" si="26"/>
        <x:v>OMS2 확인</x:v>
      </x:c>
      <x:c r="H259" s="3" t="str">
        <x:f t="shared" si="27"/>
      </x:c>
      <x:c r="I259" s="3" t="str">
        <x:f t="shared" si="28"/>
      </x:c>
      <x:c r="J259" s="3" t="str">
        <x:f t="shared" si="29"/>
      </x:c>
      <x:c r="K259" s="4" t="str">
        <x:f>IF(A259="","",IFERROR(VLOOKUP(J259,MGMT_RULE!$A:$G,7,FALSE),IFERROR(VLOOKUP(H259,RULE_MAIN!$A:$F,6,FALSE),IFERROR(VLOOKUP(I259,RULE_MAIN!$A:$F,6,FALSE),"관리자 확인"))))</x:f>
      </x:c>
      <x:c r="L259" s="5" t="str">
        <x:f>IF(A259="","",IF(K259="관리자 확인","DNC 차단",IF(ISNUMBER(SEARCH("후보",K259)),"관리자 확인",IFERROR(IF(MATCH(K259,PG_LIST!$A:$A,0)&gt;0,"DNC 가능","Program 파일 없음"),"Program 파일 없음"))))</x:f>
      </x:c>
      <x:c r="M259" s="6" t="str">
        <x:f>IF(A259="","",IF(COUNTIF(MGMT_RULE!$A:$A,J259)&gt;0,"관리번호 전용 RULE",IF(COUNTIF(RULE_MAIN!$A:$A,H259)&gt;0,"정확 RULE",IF(COUNTIF(RULE_MAIN!$A:$A,I259)&gt;0,"ANY RULE","확정 RULE 필요"))))</x:f>
      </x:c>
      <x:c r="N259" s="6" t="str">
        <x:f t="shared" si="30"/>
      </x:c>
      <x:c r="O259" s="6" t="str">
        <x:f t="shared" si="31"/>
      </x:c>
    </x:row>
    <x:row r="260">
      <x:c r="A260" s="2"/>
      <x:c r="B260" s="2"/>
      <x:c r="C260" s="2"/>
      <x:c r="D260" s="2"/>
      <x:c r="E260" s="3" t="str">
        <x:f t="shared" ref="E260:E300" si="32">IF(A260="","",LEFT(A260,3))</x:f>
      </x:c>
      <x:c r="F260" s="3" t="str">
        <x:f t="shared" ref="F260:F300" si="33">IF(C260="","",IF(ISNUMBER(SEARCH("415 516",C260)),"415-516",IF(ISNUMBER(SEARCH("415 515",C260)),"415-515",IF(ISNUMBER(SEARCH("413 513",C260)),"413-513",IF(ISNUMBER(SEARCH("411 512",C260)),"411-512","SIZE 확인")))))</x:f>
      </x:c>
      <x:c r="G260" s="3" t="str">
        <x:f t="shared" ref="G260:G300" si="34">IF(D260="","OMS2 확인",IF(OR(ISNUMBER(SEARCH("우측10",D260)),ISNUMBER(SEARCH("우측 10",D260))),"우측10mm",IF(ISNUMBER(SEARCH("방향홀",D260)),"방향홀",IF(ISNUMBER(SEARCH("후가공(2차)",D260)),"후가공(2차)",IF(ISNUMBER(SEARCH("후가공(1차)",D260)),"후가공(1차)",IF(ISNUMBER(SEARCH("센터",D260)),"CENTER",IF(ISNUMBER(SEARCH("SIZE 유의",D260)),"주의문구","OMS2 확인")))))))</x:f>
        <x:v>OMS2 확인</x:v>
      </x:c>
      <x:c r="H260" s="3" t="str">
        <x:f t="shared" ref="H260:H300" si="35">IF(A260="","",E260&amp;"|"&amp;B260&amp;"|"&amp;F260&amp;"|"&amp;G260)</x:f>
      </x:c>
      <x:c r="I260" s="3" t="str">
        <x:f t="shared" ref="I260:I300" si="36">IF(A260="","",E260&amp;"|"&amp;B260&amp;"|"&amp;F260&amp;"|ANY")</x:f>
      </x:c>
      <x:c r="J260" s="3" t="str">
        <x:f t="shared" ref="J260:J300" si="37">IF(A260="","",A260&amp;"|"&amp;B260&amp;"|"&amp;F260&amp;"|"&amp;G260)</x:f>
      </x:c>
      <x:c r="K260" s="4" t="str">
        <x:f>IF(A260="","",IFERROR(VLOOKUP(J260,MGMT_RULE!$A:$G,7,FALSE),IFERROR(VLOOKUP(H260,RULE_MAIN!$A:$F,6,FALSE),IFERROR(VLOOKUP(I260,RULE_MAIN!$A:$F,6,FALSE),"관리자 확인"))))</x:f>
      </x:c>
      <x:c r="L260" s="5" t="str">
        <x:f>IF(A260="","",IF(K260="관리자 확인","DNC 차단",IF(ISNUMBER(SEARCH("후보",K260)),"관리자 확인",IFERROR(IF(MATCH(K260,PG_LIST!$A:$A,0)&gt;0,"DNC 가능","Program 파일 없음"),"Program 파일 없음"))))</x:f>
      </x:c>
      <x:c r="M260" s="6" t="str">
        <x:f>IF(A260="","",IF(COUNTIF(MGMT_RULE!$A:$A,J260)&gt;0,"관리번호 전용 RULE",IF(COUNTIF(RULE_MAIN!$A:$A,H260)&gt;0,"정확 RULE",IF(COUNTIF(RULE_MAIN!$A:$A,I260)&gt;0,"ANY RULE","확정 RULE 필요"))))</x:f>
      </x:c>
      <x:c r="N260" s="6" t="str">
        <x:f t="shared" ref="N260:N300" si="38">IF(A260="","",IF(ISNUMBER(SEARCH("후보",K260)),"동일 조건 Program 후보 2개 이상",IF(K260="관리자 확인","조건 미등록","")))</x:f>
      </x:c>
      <x:c r="O260" s="6" t="str">
        <x:f t="shared" ref="O260:O300" si="39">IF(A260="","",IF(OR(F260="SIZE 확인",G260="OMS2 확인"),"OMS 문구 확인 필요",""))</x:f>
      </x:c>
    </x:row>
    <x:row r="261">
      <x:c r="A261" s="2"/>
      <x:c r="B261" s="2"/>
      <x:c r="C261" s="2"/>
      <x:c r="D261" s="2"/>
      <x:c r="E261" s="3" t="str">
        <x:f t="shared" si="32"/>
      </x:c>
      <x:c r="F261" s="3" t="str">
        <x:f t="shared" si="33"/>
      </x:c>
      <x:c r="G261" s="3" t="str">
        <x:f t="shared" si="34"/>
        <x:v>OMS2 확인</x:v>
      </x:c>
      <x:c r="H261" s="3" t="str">
        <x:f t="shared" si="35"/>
      </x:c>
      <x:c r="I261" s="3" t="str">
        <x:f t="shared" si="36"/>
      </x:c>
      <x:c r="J261" s="3" t="str">
        <x:f t="shared" si="37"/>
      </x:c>
      <x:c r="K261" s="4" t="str">
        <x:f>IF(A261="","",IFERROR(VLOOKUP(J261,MGMT_RULE!$A:$G,7,FALSE),IFERROR(VLOOKUP(H261,RULE_MAIN!$A:$F,6,FALSE),IFERROR(VLOOKUP(I261,RULE_MAIN!$A:$F,6,FALSE),"관리자 확인"))))</x:f>
      </x:c>
      <x:c r="L261" s="5" t="str">
        <x:f>IF(A261="","",IF(K261="관리자 확인","DNC 차단",IF(ISNUMBER(SEARCH("후보",K261)),"관리자 확인",IFERROR(IF(MATCH(K261,PG_LIST!$A:$A,0)&gt;0,"DNC 가능","Program 파일 없음"),"Program 파일 없음"))))</x:f>
      </x:c>
      <x:c r="M261" s="6" t="str">
        <x:f>IF(A261="","",IF(COUNTIF(MGMT_RULE!$A:$A,J261)&gt;0,"관리번호 전용 RULE",IF(COUNTIF(RULE_MAIN!$A:$A,H261)&gt;0,"정확 RULE",IF(COUNTIF(RULE_MAIN!$A:$A,I261)&gt;0,"ANY RULE","확정 RULE 필요"))))</x:f>
      </x:c>
      <x:c r="N261" s="6" t="str">
        <x:f t="shared" si="38"/>
      </x:c>
      <x:c r="O261" s="6" t="str">
        <x:f t="shared" si="39"/>
      </x:c>
    </x:row>
    <x:row r="262">
      <x:c r="A262" s="2"/>
      <x:c r="B262" s="2"/>
      <x:c r="C262" s="2"/>
      <x:c r="D262" s="2"/>
      <x:c r="E262" s="3" t="str">
        <x:f t="shared" si="32"/>
      </x:c>
      <x:c r="F262" s="3" t="str">
        <x:f t="shared" si="33"/>
      </x:c>
      <x:c r="G262" s="3" t="str">
        <x:f t="shared" si="34"/>
        <x:v>OMS2 확인</x:v>
      </x:c>
      <x:c r="H262" s="3" t="str">
        <x:f t="shared" si="35"/>
      </x:c>
      <x:c r="I262" s="3" t="str">
        <x:f t="shared" si="36"/>
      </x:c>
      <x:c r="J262" s="3" t="str">
        <x:f t="shared" si="37"/>
      </x:c>
      <x:c r="K262" s="4" t="str">
        <x:f>IF(A262="","",IFERROR(VLOOKUP(J262,MGMT_RULE!$A:$G,7,FALSE),IFERROR(VLOOKUP(H262,RULE_MAIN!$A:$F,6,FALSE),IFERROR(VLOOKUP(I262,RULE_MAIN!$A:$F,6,FALSE),"관리자 확인"))))</x:f>
      </x:c>
      <x:c r="L262" s="5" t="str">
        <x:f>IF(A262="","",IF(K262="관리자 확인","DNC 차단",IF(ISNUMBER(SEARCH("후보",K262)),"관리자 확인",IFERROR(IF(MATCH(K262,PG_LIST!$A:$A,0)&gt;0,"DNC 가능","Program 파일 없음"),"Program 파일 없음"))))</x:f>
      </x:c>
      <x:c r="M262" s="6" t="str">
        <x:f>IF(A262="","",IF(COUNTIF(MGMT_RULE!$A:$A,J262)&gt;0,"관리번호 전용 RULE",IF(COUNTIF(RULE_MAIN!$A:$A,H262)&gt;0,"정확 RULE",IF(COUNTIF(RULE_MAIN!$A:$A,I262)&gt;0,"ANY RULE","확정 RULE 필요"))))</x:f>
      </x:c>
      <x:c r="N262" s="6" t="str">
        <x:f t="shared" si="38"/>
      </x:c>
      <x:c r="O262" s="6" t="str">
        <x:f t="shared" si="39"/>
      </x:c>
    </x:row>
    <x:row r="263">
      <x:c r="A263" s="2"/>
      <x:c r="B263" s="2"/>
      <x:c r="C263" s="2"/>
      <x:c r="D263" s="2"/>
      <x:c r="E263" s="3" t="str">
        <x:f t="shared" si="32"/>
      </x:c>
      <x:c r="F263" s="3" t="str">
        <x:f t="shared" si="33"/>
      </x:c>
      <x:c r="G263" s="3" t="str">
        <x:f t="shared" si="34"/>
        <x:v>OMS2 확인</x:v>
      </x:c>
      <x:c r="H263" s="3" t="str">
        <x:f t="shared" si="35"/>
      </x:c>
      <x:c r="I263" s="3" t="str">
        <x:f t="shared" si="36"/>
      </x:c>
      <x:c r="J263" s="3" t="str">
        <x:f t="shared" si="37"/>
      </x:c>
      <x:c r="K263" s="4" t="str">
        <x:f>IF(A263="","",IFERROR(VLOOKUP(J263,MGMT_RULE!$A:$G,7,FALSE),IFERROR(VLOOKUP(H263,RULE_MAIN!$A:$F,6,FALSE),IFERROR(VLOOKUP(I263,RULE_MAIN!$A:$F,6,FALSE),"관리자 확인"))))</x:f>
      </x:c>
      <x:c r="L263" s="5" t="str">
        <x:f>IF(A263="","",IF(K263="관리자 확인","DNC 차단",IF(ISNUMBER(SEARCH("후보",K263)),"관리자 확인",IFERROR(IF(MATCH(K263,PG_LIST!$A:$A,0)&gt;0,"DNC 가능","Program 파일 없음"),"Program 파일 없음"))))</x:f>
      </x:c>
      <x:c r="M263" s="6" t="str">
        <x:f>IF(A263="","",IF(COUNTIF(MGMT_RULE!$A:$A,J263)&gt;0,"관리번호 전용 RULE",IF(COUNTIF(RULE_MAIN!$A:$A,H263)&gt;0,"정확 RULE",IF(COUNTIF(RULE_MAIN!$A:$A,I263)&gt;0,"ANY RULE","확정 RULE 필요"))))</x:f>
      </x:c>
      <x:c r="N263" s="6" t="str">
        <x:f t="shared" si="38"/>
      </x:c>
      <x:c r="O263" s="6" t="str">
        <x:f t="shared" si="39"/>
      </x:c>
    </x:row>
    <x:row r="264">
      <x:c r="A264" s="2"/>
      <x:c r="B264" s="2"/>
      <x:c r="C264" s="2"/>
      <x:c r="D264" s="2"/>
      <x:c r="E264" s="3" t="str">
        <x:f t="shared" si="32"/>
      </x:c>
      <x:c r="F264" s="3" t="str">
        <x:f t="shared" si="33"/>
      </x:c>
      <x:c r="G264" s="3" t="str">
        <x:f t="shared" si="34"/>
        <x:v>OMS2 확인</x:v>
      </x:c>
      <x:c r="H264" s="3" t="str">
        <x:f t="shared" si="35"/>
      </x:c>
      <x:c r="I264" s="3" t="str">
        <x:f t="shared" si="36"/>
      </x:c>
      <x:c r="J264" s="3" t="str">
        <x:f t="shared" si="37"/>
      </x:c>
      <x:c r="K264" s="4" t="str">
        <x:f>IF(A264="","",IFERROR(VLOOKUP(J264,MGMT_RULE!$A:$G,7,FALSE),IFERROR(VLOOKUP(H264,RULE_MAIN!$A:$F,6,FALSE),IFERROR(VLOOKUP(I264,RULE_MAIN!$A:$F,6,FALSE),"관리자 확인"))))</x:f>
      </x:c>
      <x:c r="L264" s="5" t="str">
        <x:f>IF(A264="","",IF(K264="관리자 확인","DNC 차단",IF(ISNUMBER(SEARCH("후보",K264)),"관리자 확인",IFERROR(IF(MATCH(K264,PG_LIST!$A:$A,0)&gt;0,"DNC 가능","Program 파일 없음"),"Program 파일 없음"))))</x:f>
      </x:c>
      <x:c r="M264" s="6" t="str">
        <x:f>IF(A264="","",IF(COUNTIF(MGMT_RULE!$A:$A,J264)&gt;0,"관리번호 전용 RULE",IF(COUNTIF(RULE_MAIN!$A:$A,H264)&gt;0,"정확 RULE",IF(COUNTIF(RULE_MAIN!$A:$A,I264)&gt;0,"ANY RULE","확정 RULE 필요"))))</x:f>
      </x:c>
      <x:c r="N264" s="6" t="str">
        <x:f t="shared" si="38"/>
      </x:c>
      <x:c r="O264" s="6" t="str">
        <x:f t="shared" si="39"/>
      </x:c>
    </x:row>
    <x:row r="265">
      <x:c r="A265" s="2"/>
      <x:c r="B265" s="2"/>
      <x:c r="C265" s="2"/>
      <x:c r="D265" s="2"/>
      <x:c r="E265" s="3" t="str">
        <x:f t="shared" si="32"/>
      </x:c>
      <x:c r="F265" s="3" t="str">
        <x:f t="shared" si="33"/>
      </x:c>
      <x:c r="G265" s="3" t="str">
        <x:f t="shared" si="34"/>
        <x:v>OMS2 확인</x:v>
      </x:c>
      <x:c r="H265" s="3" t="str">
        <x:f t="shared" si="35"/>
      </x:c>
      <x:c r="I265" s="3" t="str">
        <x:f t="shared" si="36"/>
      </x:c>
      <x:c r="J265" s="3" t="str">
        <x:f t="shared" si="37"/>
      </x:c>
      <x:c r="K265" s="4" t="str">
        <x:f>IF(A265="","",IFERROR(VLOOKUP(J265,MGMT_RULE!$A:$G,7,FALSE),IFERROR(VLOOKUP(H265,RULE_MAIN!$A:$F,6,FALSE),IFERROR(VLOOKUP(I265,RULE_MAIN!$A:$F,6,FALSE),"관리자 확인"))))</x:f>
      </x:c>
      <x:c r="L265" s="5" t="str">
        <x:f>IF(A265="","",IF(K265="관리자 확인","DNC 차단",IF(ISNUMBER(SEARCH("후보",K265)),"관리자 확인",IFERROR(IF(MATCH(K265,PG_LIST!$A:$A,0)&gt;0,"DNC 가능","Program 파일 없음"),"Program 파일 없음"))))</x:f>
      </x:c>
      <x:c r="M265" s="6" t="str">
        <x:f>IF(A265="","",IF(COUNTIF(MGMT_RULE!$A:$A,J265)&gt;0,"관리번호 전용 RULE",IF(COUNTIF(RULE_MAIN!$A:$A,H265)&gt;0,"정확 RULE",IF(COUNTIF(RULE_MAIN!$A:$A,I265)&gt;0,"ANY RULE","확정 RULE 필요"))))</x:f>
      </x:c>
      <x:c r="N265" s="6" t="str">
        <x:f t="shared" si="38"/>
      </x:c>
      <x:c r="O265" s="6" t="str">
        <x:f t="shared" si="39"/>
      </x:c>
    </x:row>
    <x:row r="266">
      <x:c r="A266" s="2"/>
      <x:c r="B266" s="2"/>
      <x:c r="C266" s="2"/>
      <x:c r="D266" s="2"/>
      <x:c r="E266" s="3" t="str">
        <x:f t="shared" si="32"/>
      </x:c>
      <x:c r="F266" s="3" t="str">
        <x:f t="shared" si="33"/>
      </x:c>
      <x:c r="G266" s="3" t="str">
        <x:f t="shared" si="34"/>
        <x:v>OMS2 확인</x:v>
      </x:c>
      <x:c r="H266" s="3" t="str">
        <x:f t="shared" si="35"/>
      </x:c>
      <x:c r="I266" s="3" t="str">
        <x:f t="shared" si="36"/>
      </x:c>
      <x:c r="J266" s="3" t="str">
        <x:f t="shared" si="37"/>
      </x:c>
      <x:c r="K266" s="4" t="str">
        <x:f>IF(A266="","",IFERROR(VLOOKUP(J266,MGMT_RULE!$A:$G,7,FALSE),IFERROR(VLOOKUP(H266,RULE_MAIN!$A:$F,6,FALSE),IFERROR(VLOOKUP(I266,RULE_MAIN!$A:$F,6,FALSE),"관리자 확인"))))</x:f>
      </x:c>
      <x:c r="L266" s="5" t="str">
        <x:f>IF(A266="","",IF(K266="관리자 확인","DNC 차단",IF(ISNUMBER(SEARCH("후보",K266)),"관리자 확인",IFERROR(IF(MATCH(K266,PG_LIST!$A:$A,0)&gt;0,"DNC 가능","Program 파일 없음"),"Program 파일 없음"))))</x:f>
      </x:c>
      <x:c r="M266" s="6" t="str">
        <x:f>IF(A266="","",IF(COUNTIF(MGMT_RULE!$A:$A,J266)&gt;0,"관리번호 전용 RULE",IF(COUNTIF(RULE_MAIN!$A:$A,H266)&gt;0,"정확 RULE",IF(COUNTIF(RULE_MAIN!$A:$A,I266)&gt;0,"ANY RULE","확정 RULE 필요"))))</x:f>
      </x:c>
      <x:c r="N266" s="6" t="str">
        <x:f t="shared" si="38"/>
      </x:c>
      <x:c r="O266" s="6" t="str">
        <x:f t="shared" si="39"/>
      </x:c>
    </x:row>
    <x:row r="267">
      <x:c r="A267" s="2"/>
      <x:c r="B267" s="2"/>
      <x:c r="C267" s="2"/>
      <x:c r="D267" s="2"/>
      <x:c r="E267" s="3" t="str">
        <x:f t="shared" si="32"/>
      </x:c>
      <x:c r="F267" s="3" t="str">
        <x:f t="shared" si="33"/>
      </x:c>
      <x:c r="G267" s="3" t="str">
        <x:f t="shared" si="34"/>
        <x:v>OMS2 확인</x:v>
      </x:c>
      <x:c r="H267" s="3" t="str">
        <x:f t="shared" si="35"/>
      </x:c>
      <x:c r="I267" s="3" t="str">
        <x:f t="shared" si="36"/>
      </x:c>
      <x:c r="J267" s="3" t="str">
        <x:f t="shared" si="37"/>
      </x:c>
      <x:c r="K267" s="4" t="str">
        <x:f>IF(A267="","",IFERROR(VLOOKUP(J267,MGMT_RULE!$A:$G,7,FALSE),IFERROR(VLOOKUP(H267,RULE_MAIN!$A:$F,6,FALSE),IFERROR(VLOOKUP(I267,RULE_MAIN!$A:$F,6,FALSE),"관리자 확인"))))</x:f>
      </x:c>
      <x:c r="L267" s="5" t="str">
        <x:f>IF(A267="","",IF(K267="관리자 확인","DNC 차단",IF(ISNUMBER(SEARCH("후보",K267)),"관리자 확인",IFERROR(IF(MATCH(K267,PG_LIST!$A:$A,0)&gt;0,"DNC 가능","Program 파일 없음"),"Program 파일 없음"))))</x:f>
      </x:c>
      <x:c r="M267" s="6" t="str">
        <x:f>IF(A267="","",IF(COUNTIF(MGMT_RULE!$A:$A,J267)&gt;0,"관리번호 전용 RULE",IF(COUNTIF(RULE_MAIN!$A:$A,H267)&gt;0,"정확 RULE",IF(COUNTIF(RULE_MAIN!$A:$A,I267)&gt;0,"ANY RULE","확정 RULE 필요"))))</x:f>
      </x:c>
      <x:c r="N267" s="6" t="str">
        <x:f t="shared" si="38"/>
      </x:c>
      <x:c r="O267" s="6" t="str">
        <x:f t="shared" si="39"/>
      </x:c>
    </x:row>
    <x:row r="268">
      <x:c r="A268" s="2"/>
      <x:c r="B268" s="2"/>
      <x:c r="C268" s="2"/>
      <x:c r="D268" s="2"/>
      <x:c r="E268" s="3" t="str">
        <x:f t="shared" si="32"/>
      </x:c>
      <x:c r="F268" s="3" t="str">
        <x:f t="shared" si="33"/>
      </x:c>
      <x:c r="G268" s="3" t="str">
        <x:f t="shared" si="34"/>
        <x:v>OMS2 확인</x:v>
      </x:c>
      <x:c r="H268" s="3" t="str">
        <x:f t="shared" si="35"/>
      </x:c>
      <x:c r="I268" s="3" t="str">
        <x:f t="shared" si="36"/>
      </x:c>
      <x:c r="J268" s="3" t="str">
        <x:f t="shared" si="37"/>
      </x:c>
      <x:c r="K268" s="4" t="str">
        <x:f>IF(A268="","",IFERROR(VLOOKUP(J268,MGMT_RULE!$A:$G,7,FALSE),IFERROR(VLOOKUP(H268,RULE_MAIN!$A:$F,6,FALSE),IFERROR(VLOOKUP(I268,RULE_MAIN!$A:$F,6,FALSE),"관리자 확인"))))</x:f>
      </x:c>
      <x:c r="L268" s="5" t="str">
        <x:f>IF(A268="","",IF(K268="관리자 확인","DNC 차단",IF(ISNUMBER(SEARCH("후보",K268)),"관리자 확인",IFERROR(IF(MATCH(K268,PG_LIST!$A:$A,0)&gt;0,"DNC 가능","Program 파일 없음"),"Program 파일 없음"))))</x:f>
      </x:c>
      <x:c r="M268" s="6" t="str">
        <x:f>IF(A268="","",IF(COUNTIF(MGMT_RULE!$A:$A,J268)&gt;0,"관리번호 전용 RULE",IF(COUNTIF(RULE_MAIN!$A:$A,H268)&gt;0,"정확 RULE",IF(COUNTIF(RULE_MAIN!$A:$A,I268)&gt;0,"ANY RULE","확정 RULE 필요"))))</x:f>
      </x:c>
      <x:c r="N268" s="6" t="str">
        <x:f t="shared" si="38"/>
      </x:c>
      <x:c r="O268" s="6" t="str">
        <x:f t="shared" si="39"/>
      </x:c>
    </x:row>
    <x:row r="269">
      <x:c r="A269" s="2"/>
      <x:c r="B269" s="2"/>
      <x:c r="C269" s="2"/>
      <x:c r="D269" s="2"/>
      <x:c r="E269" s="3" t="str">
        <x:f t="shared" si="32"/>
      </x:c>
      <x:c r="F269" s="3" t="str">
        <x:f t="shared" si="33"/>
      </x:c>
      <x:c r="G269" s="3" t="str">
        <x:f t="shared" si="34"/>
        <x:v>OMS2 확인</x:v>
      </x:c>
      <x:c r="H269" s="3" t="str">
        <x:f t="shared" si="35"/>
      </x:c>
      <x:c r="I269" s="3" t="str">
        <x:f t="shared" si="36"/>
      </x:c>
      <x:c r="J269" s="3" t="str">
        <x:f t="shared" si="37"/>
      </x:c>
      <x:c r="K269" s="4" t="str">
        <x:f>IF(A269="","",IFERROR(VLOOKUP(J269,MGMT_RULE!$A:$G,7,FALSE),IFERROR(VLOOKUP(H269,RULE_MAIN!$A:$F,6,FALSE),IFERROR(VLOOKUP(I269,RULE_MAIN!$A:$F,6,FALSE),"관리자 확인"))))</x:f>
      </x:c>
      <x:c r="L269" s="5" t="str">
        <x:f>IF(A269="","",IF(K269="관리자 확인","DNC 차단",IF(ISNUMBER(SEARCH("후보",K269)),"관리자 확인",IFERROR(IF(MATCH(K269,PG_LIST!$A:$A,0)&gt;0,"DNC 가능","Program 파일 없음"),"Program 파일 없음"))))</x:f>
      </x:c>
      <x:c r="M269" s="6" t="str">
        <x:f>IF(A269="","",IF(COUNTIF(MGMT_RULE!$A:$A,J269)&gt;0,"관리번호 전용 RULE",IF(COUNTIF(RULE_MAIN!$A:$A,H269)&gt;0,"정확 RULE",IF(COUNTIF(RULE_MAIN!$A:$A,I269)&gt;0,"ANY RULE","확정 RULE 필요"))))</x:f>
      </x:c>
      <x:c r="N269" s="6" t="str">
        <x:f t="shared" si="38"/>
      </x:c>
      <x:c r="O269" s="6" t="str">
        <x:f t="shared" si="39"/>
      </x:c>
    </x:row>
    <x:row r="270">
      <x:c r="A270" s="2"/>
      <x:c r="B270" s="2"/>
      <x:c r="C270" s="2"/>
      <x:c r="D270" s="2"/>
      <x:c r="E270" s="3" t="str">
        <x:f t="shared" si="32"/>
      </x:c>
      <x:c r="F270" s="3" t="str">
        <x:f t="shared" si="33"/>
      </x:c>
      <x:c r="G270" s="3" t="str">
        <x:f t="shared" si="34"/>
        <x:v>OMS2 확인</x:v>
      </x:c>
      <x:c r="H270" s="3" t="str">
        <x:f t="shared" si="35"/>
      </x:c>
      <x:c r="I270" s="3" t="str">
        <x:f t="shared" si="36"/>
      </x:c>
      <x:c r="J270" s="3" t="str">
        <x:f t="shared" si="37"/>
      </x:c>
      <x:c r="K270" s="4" t="str">
        <x:f>IF(A270="","",IFERROR(VLOOKUP(J270,MGMT_RULE!$A:$G,7,FALSE),IFERROR(VLOOKUP(H270,RULE_MAIN!$A:$F,6,FALSE),IFERROR(VLOOKUP(I270,RULE_MAIN!$A:$F,6,FALSE),"관리자 확인"))))</x:f>
      </x:c>
      <x:c r="L270" s="5" t="str">
        <x:f>IF(A270="","",IF(K270="관리자 확인","DNC 차단",IF(ISNUMBER(SEARCH("후보",K270)),"관리자 확인",IFERROR(IF(MATCH(K270,PG_LIST!$A:$A,0)&gt;0,"DNC 가능","Program 파일 없음"),"Program 파일 없음"))))</x:f>
      </x:c>
      <x:c r="M270" s="6" t="str">
        <x:f>IF(A270="","",IF(COUNTIF(MGMT_RULE!$A:$A,J270)&gt;0,"관리번호 전용 RULE",IF(COUNTIF(RULE_MAIN!$A:$A,H270)&gt;0,"정확 RULE",IF(COUNTIF(RULE_MAIN!$A:$A,I270)&gt;0,"ANY RULE","확정 RULE 필요"))))</x:f>
      </x:c>
      <x:c r="N270" s="6" t="str">
        <x:f t="shared" si="38"/>
      </x:c>
      <x:c r="O270" s="6" t="str">
        <x:f t="shared" si="39"/>
      </x:c>
    </x:row>
    <x:row r="271">
      <x:c r="A271" s="2"/>
      <x:c r="B271" s="2"/>
      <x:c r="C271" s="2"/>
      <x:c r="D271" s="2"/>
      <x:c r="E271" s="3" t="str">
        <x:f t="shared" si="32"/>
      </x:c>
      <x:c r="F271" s="3" t="str">
        <x:f t="shared" si="33"/>
      </x:c>
      <x:c r="G271" s="3" t="str">
        <x:f t="shared" si="34"/>
        <x:v>OMS2 확인</x:v>
      </x:c>
      <x:c r="H271" s="3" t="str">
        <x:f t="shared" si="35"/>
      </x:c>
      <x:c r="I271" s="3" t="str">
        <x:f t="shared" si="36"/>
      </x:c>
      <x:c r="J271" s="3" t="str">
        <x:f t="shared" si="37"/>
      </x:c>
      <x:c r="K271" s="4" t="str">
        <x:f>IF(A271="","",IFERROR(VLOOKUP(J271,MGMT_RULE!$A:$G,7,FALSE),IFERROR(VLOOKUP(H271,RULE_MAIN!$A:$F,6,FALSE),IFERROR(VLOOKUP(I271,RULE_MAIN!$A:$F,6,FALSE),"관리자 확인"))))</x:f>
      </x:c>
      <x:c r="L271" s="5" t="str">
        <x:f>IF(A271="","",IF(K271="관리자 확인","DNC 차단",IF(ISNUMBER(SEARCH("후보",K271)),"관리자 확인",IFERROR(IF(MATCH(K271,PG_LIST!$A:$A,0)&gt;0,"DNC 가능","Program 파일 없음"),"Program 파일 없음"))))</x:f>
      </x:c>
      <x:c r="M271" s="6" t="str">
        <x:f>IF(A271="","",IF(COUNTIF(MGMT_RULE!$A:$A,J271)&gt;0,"관리번호 전용 RULE",IF(COUNTIF(RULE_MAIN!$A:$A,H271)&gt;0,"정확 RULE",IF(COUNTIF(RULE_MAIN!$A:$A,I271)&gt;0,"ANY RULE","확정 RULE 필요"))))</x:f>
      </x:c>
      <x:c r="N271" s="6" t="str">
        <x:f t="shared" si="38"/>
      </x:c>
      <x:c r="O271" s="6" t="str">
        <x:f t="shared" si="39"/>
      </x:c>
    </x:row>
    <x:row r="272">
      <x:c r="A272" s="2"/>
      <x:c r="B272" s="2"/>
      <x:c r="C272" s="2"/>
      <x:c r="D272" s="2"/>
      <x:c r="E272" s="3" t="str">
        <x:f t="shared" si="32"/>
      </x:c>
      <x:c r="F272" s="3" t="str">
        <x:f t="shared" si="33"/>
      </x:c>
      <x:c r="G272" s="3" t="str">
        <x:f t="shared" si="34"/>
        <x:v>OMS2 확인</x:v>
      </x:c>
      <x:c r="H272" s="3" t="str">
        <x:f t="shared" si="35"/>
      </x:c>
      <x:c r="I272" s="3" t="str">
        <x:f t="shared" si="36"/>
      </x:c>
      <x:c r="J272" s="3" t="str">
        <x:f t="shared" si="37"/>
      </x:c>
      <x:c r="K272" s="4" t="str">
        <x:f>IF(A272="","",IFERROR(VLOOKUP(J272,MGMT_RULE!$A:$G,7,FALSE),IFERROR(VLOOKUP(H272,RULE_MAIN!$A:$F,6,FALSE),IFERROR(VLOOKUP(I272,RULE_MAIN!$A:$F,6,FALSE),"관리자 확인"))))</x:f>
      </x:c>
      <x:c r="L272" s="5" t="str">
        <x:f>IF(A272="","",IF(K272="관리자 확인","DNC 차단",IF(ISNUMBER(SEARCH("후보",K272)),"관리자 확인",IFERROR(IF(MATCH(K272,PG_LIST!$A:$A,0)&gt;0,"DNC 가능","Program 파일 없음"),"Program 파일 없음"))))</x:f>
      </x:c>
      <x:c r="M272" s="6" t="str">
        <x:f>IF(A272="","",IF(COUNTIF(MGMT_RULE!$A:$A,J272)&gt;0,"관리번호 전용 RULE",IF(COUNTIF(RULE_MAIN!$A:$A,H272)&gt;0,"정확 RULE",IF(COUNTIF(RULE_MAIN!$A:$A,I272)&gt;0,"ANY RULE","확정 RULE 필요"))))</x:f>
      </x:c>
      <x:c r="N272" s="6" t="str">
        <x:f t="shared" si="38"/>
      </x:c>
      <x:c r="O272" s="6" t="str">
        <x:f t="shared" si="39"/>
      </x:c>
    </x:row>
    <x:row r="273">
      <x:c r="A273" s="2"/>
      <x:c r="B273" s="2"/>
      <x:c r="C273" s="2"/>
      <x:c r="D273" s="2"/>
      <x:c r="E273" s="3" t="str">
        <x:f t="shared" si="32"/>
      </x:c>
      <x:c r="F273" s="3" t="str">
        <x:f t="shared" si="33"/>
      </x:c>
      <x:c r="G273" s="3" t="str">
        <x:f t="shared" si="34"/>
        <x:v>OMS2 확인</x:v>
      </x:c>
      <x:c r="H273" s="3" t="str">
        <x:f t="shared" si="35"/>
      </x:c>
      <x:c r="I273" s="3" t="str">
        <x:f t="shared" si="36"/>
      </x:c>
      <x:c r="J273" s="3" t="str">
        <x:f t="shared" si="37"/>
      </x:c>
      <x:c r="K273" s="4" t="str">
        <x:f>IF(A273="","",IFERROR(VLOOKUP(J273,MGMT_RULE!$A:$G,7,FALSE),IFERROR(VLOOKUP(H273,RULE_MAIN!$A:$F,6,FALSE),IFERROR(VLOOKUP(I273,RULE_MAIN!$A:$F,6,FALSE),"관리자 확인"))))</x:f>
      </x:c>
      <x:c r="L273" s="5" t="str">
        <x:f>IF(A273="","",IF(K273="관리자 확인","DNC 차단",IF(ISNUMBER(SEARCH("후보",K273)),"관리자 확인",IFERROR(IF(MATCH(K273,PG_LIST!$A:$A,0)&gt;0,"DNC 가능","Program 파일 없음"),"Program 파일 없음"))))</x:f>
      </x:c>
      <x:c r="M273" s="6" t="str">
        <x:f>IF(A273="","",IF(COUNTIF(MGMT_RULE!$A:$A,J273)&gt;0,"관리번호 전용 RULE",IF(COUNTIF(RULE_MAIN!$A:$A,H273)&gt;0,"정확 RULE",IF(COUNTIF(RULE_MAIN!$A:$A,I273)&gt;0,"ANY RULE","확정 RULE 필요"))))</x:f>
      </x:c>
      <x:c r="N273" s="6" t="str">
        <x:f t="shared" si="38"/>
      </x:c>
      <x:c r="O273" s="6" t="str">
        <x:f t="shared" si="39"/>
      </x:c>
    </x:row>
    <x:row r="274">
      <x:c r="A274" s="2"/>
      <x:c r="B274" s="2"/>
      <x:c r="C274" s="2"/>
      <x:c r="D274" s="2"/>
      <x:c r="E274" s="3" t="str">
        <x:f t="shared" si="32"/>
      </x:c>
      <x:c r="F274" s="3" t="str">
        <x:f t="shared" si="33"/>
      </x:c>
      <x:c r="G274" s="3" t="str">
        <x:f t="shared" si="34"/>
        <x:v>OMS2 확인</x:v>
      </x:c>
      <x:c r="H274" s="3" t="str">
        <x:f t="shared" si="35"/>
      </x:c>
      <x:c r="I274" s="3" t="str">
        <x:f t="shared" si="36"/>
      </x:c>
      <x:c r="J274" s="3" t="str">
        <x:f t="shared" si="37"/>
      </x:c>
      <x:c r="K274" s="4" t="str">
        <x:f>IF(A274="","",IFERROR(VLOOKUP(J274,MGMT_RULE!$A:$G,7,FALSE),IFERROR(VLOOKUP(H274,RULE_MAIN!$A:$F,6,FALSE),IFERROR(VLOOKUP(I274,RULE_MAIN!$A:$F,6,FALSE),"관리자 확인"))))</x:f>
      </x:c>
      <x:c r="L274" s="5" t="str">
        <x:f>IF(A274="","",IF(K274="관리자 확인","DNC 차단",IF(ISNUMBER(SEARCH("후보",K274)),"관리자 확인",IFERROR(IF(MATCH(K274,PG_LIST!$A:$A,0)&gt;0,"DNC 가능","Program 파일 없음"),"Program 파일 없음"))))</x:f>
      </x:c>
      <x:c r="M274" s="6" t="str">
        <x:f>IF(A274="","",IF(COUNTIF(MGMT_RULE!$A:$A,J274)&gt;0,"관리번호 전용 RULE",IF(COUNTIF(RULE_MAIN!$A:$A,H274)&gt;0,"정확 RULE",IF(COUNTIF(RULE_MAIN!$A:$A,I274)&gt;0,"ANY RULE","확정 RULE 필요"))))</x:f>
      </x:c>
      <x:c r="N274" s="6" t="str">
        <x:f t="shared" si="38"/>
      </x:c>
      <x:c r="O274" s="6" t="str">
        <x:f t="shared" si="39"/>
      </x:c>
    </x:row>
    <x:row r="275">
      <x:c r="A275" s="2"/>
      <x:c r="B275" s="2"/>
      <x:c r="C275" s="2"/>
      <x:c r="D275" s="2"/>
      <x:c r="E275" s="3" t="str">
        <x:f t="shared" si="32"/>
      </x:c>
      <x:c r="F275" s="3" t="str">
        <x:f t="shared" si="33"/>
      </x:c>
      <x:c r="G275" s="3" t="str">
        <x:f t="shared" si="34"/>
        <x:v>OMS2 확인</x:v>
      </x:c>
      <x:c r="H275" s="3" t="str">
        <x:f t="shared" si="35"/>
      </x:c>
      <x:c r="I275" s="3" t="str">
        <x:f t="shared" si="36"/>
      </x:c>
      <x:c r="J275" s="3" t="str">
        <x:f t="shared" si="37"/>
      </x:c>
      <x:c r="K275" s="4" t="str">
        <x:f>IF(A275="","",IFERROR(VLOOKUP(J275,MGMT_RULE!$A:$G,7,FALSE),IFERROR(VLOOKUP(H275,RULE_MAIN!$A:$F,6,FALSE),IFERROR(VLOOKUP(I275,RULE_MAIN!$A:$F,6,FALSE),"관리자 확인"))))</x:f>
      </x:c>
      <x:c r="L275" s="5" t="str">
        <x:f>IF(A275="","",IF(K275="관리자 확인","DNC 차단",IF(ISNUMBER(SEARCH("후보",K275)),"관리자 확인",IFERROR(IF(MATCH(K275,PG_LIST!$A:$A,0)&gt;0,"DNC 가능","Program 파일 없음"),"Program 파일 없음"))))</x:f>
      </x:c>
      <x:c r="M275" s="6" t="str">
        <x:f>IF(A275="","",IF(COUNTIF(MGMT_RULE!$A:$A,J275)&gt;0,"관리번호 전용 RULE",IF(COUNTIF(RULE_MAIN!$A:$A,H275)&gt;0,"정확 RULE",IF(COUNTIF(RULE_MAIN!$A:$A,I275)&gt;0,"ANY RULE","확정 RULE 필요"))))</x:f>
      </x:c>
      <x:c r="N275" s="6" t="str">
        <x:f t="shared" si="38"/>
      </x:c>
      <x:c r="O275" s="6" t="str">
        <x:f t="shared" si="39"/>
      </x:c>
    </x:row>
    <x:row r="276">
      <x:c r="A276" s="2"/>
      <x:c r="B276" s="2"/>
      <x:c r="C276" s="2"/>
      <x:c r="D276" s="2"/>
      <x:c r="E276" s="3" t="str">
        <x:f t="shared" si="32"/>
      </x:c>
      <x:c r="F276" s="3" t="str">
        <x:f t="shared" si="33"/>
      </x:c>
      <x:c r="G276" s="3" t="str">
        <x:f t="shared" si="34"/>
        <x:v>OMS2 확인</x:v>
      </x:c>
      <x:c r="H276" s="3" t="str">
        <x:f t="shared" si="35"/>
      </x:c>
      <x:c r="I276" s="3" t="str">
        <x:f t="shared" si="36"/>
      </x:c>
      <x:c r="J276" s="3" t="str">
        <x:f t="shared" si="37"/>
      </x:c>
      <x:c r="K276" s="4" t="str">
        <x:f>IF(A276="","",IFERROR(VLOOKUP(J276,MGMT_RULE!$A:$G,7,FALSE),IFERROR(VLOOKUP(H276,RULE_MAIN!$A:$F,6,FALSE),IFERROR(VLOOKUP(I276,RULE_MAIN!$A:$F,6,FALSE),"관리자 확인"))))</x:f>
      </x:c>
      <x:c r="L276" s="5" t="str">
        <x:f>IF(A276="","",IF(K276="관리자 확인","DNC 차단",IF(ISNUMBER(SEARCH("후보",K276)),"관리자 확인",IFERROR(IF(MATCH(K276,PG_LIST!$A:$A,0)&gt;0,"DNC 가능","Program 파일 없음"),"Program 파일 없음"))))</x:f>
      </x:c>
      <x:c r="M276" s="6" t="str">
        <x:f>IF(A276="","",IF(COUNTIF(MGMT_RULE!$A:$A,J276)&gt;0,"관리번호 전용 RULE",IF(COUNTIF(RULE_MAIN!$A:$A,H276)&gt;0,"정확 RULE",IF(COUNTIF(RULE_MAIN!$A:$A,I276)&gt;0,"ANY RULE","확정 RULE 필요"))))</x:f>
      </x:c>
      <x:c r="N276" s="6" t="str">
        <x:f t="shared" si="38"/>
      </x:c>
      <x:c r="O276" s="6" t="str">
        <x:f t="shared" si="39"/>
      </x:c>
    </x:row>
    <x:row r="277">
      <x:c r="A277" s="2"/>
      <x:c r="B277" s="2"/>
      <x:c r="C277" s="2"/>
      <x:c r="D277" s="2"/>
      <x:c r="E277" s="3" t="str">
        <x:f t="shared" si="32"/>
      </x:c>
      <x:c r="F277" s="3" t="str">
        <x:f t="shared" si="33"/>
      </x:c>
      <x:c r="G277" s="3" t="str">
        <x:f t="shared" si="34"/>
        <x:v>OMS2 확인</x:v>
      </x:c>
      <x:c r="H277" s="3" t="str">
        <x:f t="shared" si="35"/>
      </x:c>
      <x:c r="I277" s="3" t="str">
        <x:f t="shared" si="36"/>
      </x:c>
      <x:c r="J277" s="3" t="str">
        <x:f t="shared" si="37"/>
      </x:c>
      <x:c r="K277" s="4" t="str">
        <x:f>IF(A277="","",IFERROR(VLOOKUP(J277,MGMT_RULE!$A:$G,7,FALSE),IFERROR(VLOOKUP(H277,RULE_MAIN!$A:$F,6,FALSE),IFERROR(VLOOKUP(I277,RULE_MAIN!$A:$F,6,FALSE),"관리자 확인"))))</x:f>
      </x:c>
      <x:c r="L277" s="5" t="str">
        <x:f>IF(A277="","",IF(K277="관리자 확인","DNC 차단",IF(ISNUMBER(SEARCH("후보",K277)),"관리자 확인",IFERROR(IF(MATCH(K277,PG_LIST!$A:$A,0)&gt;0,"DNC 가능","Program 파일 없음"),"Program 파일 없음"))))</x:f>
      </x:c>
      <x:c r="M277" s="6" t="str">
        <x:f>IF(A277="","",IF(COUNTIF(MGMT_RULE!$A:$A,J277)&gt;0,"관리번호 전용 RULE",IF(COUNTIF(RULE_MAIN!$A:$A,H277)&gt;0,"정확 RULE",IF(COUNTIF(RULE_MAIN!$A:$A,I277)&gt;0,"ANY RULE","확정 RULE 필요"))))</x:f>
      </x:c>
      <x:c r="N277" s="6" t="str">
        <x:f t="shared" si="38"/>
      </x:c>
      <x:c r="O277" s="6" t="str">
        <x:f t="shared" si="39"/>
      </x:c>
    </x:row>
    <x:row r="278">
      <x:c r="A278" s="2"/>
      <x:c r="B278" s="2"/>
      <x:c r="C278" s="2"/>
      <x:c r="D278" s="2"/>
      <x:c r="E278" s="3" t="str">
        <x:f t="shared" si="32"/>
      </x:c>
      <x:c r="F278" s="3" t="str">
        <x:f t="shared" si="33"/>
      </x:c>
      <x:c r="G278" s="3" t="str">
        <x:f t="shared" si="34"/>
        <x:v>OMS2 확인</x:v>
      </x:c>
      <x:c r="H278" s="3" t="str">
        <x:f t="shared" si="35"/>
      </x:c>
      <x:c r="I278" s="3" t="str">
        <x:f t="shared" si="36"/>
      </x:c>
      <x:c r="J278" s="3" t="str">
        <x:f t="shared" si="37"/>
      </x:c>
      <x:c r="K278" s="4" t="str">
        <x:f>IF(A278="","",IFERROR(VLOOKUP(J278,MGMT_RULE!$A:$G,7,FALSE),IFERROR(VLOOKUP(H278,RULE_MAIN!$A:$F,6,FALSE),IFERROR(VLOOKUP(I278,RULE_MAIN!$A:$F,6,FALSE),"관리자 확인"))))</x:f>
      </x:c>
      <x:c r="L278" s="5" t="str">
        <x:f>IF(A278="","",IF(K278="관리자 확인","DNC 차단",IF(ISNUMBER(SEARCH("후보",K278)),"관리자 확인",IFERROR(IF(MATCH(K278,PG_LIST!$A:$A,0)&gt;0,"DNC 가능","Program 파일 없음"),"Program 파일 없음"))))</x:f>
      </x:c>
      <x:c r="M278" s="6" t="str">
        <x:f>IF(A278="","",IF(COUNTIF(MGMT_RULE!$A:$A,J278)&gt;0,"관리번호 전용 RULE",IF(COUNTIF(RULE_MAIN!$A:$A,H278)&gt;0,"정확 RULE",IF(COUNTIF(RULE_MAIN!$A:$A,I278)&gt;0,"ANY RULE","확정 RULE 필요"))))</x:f>
      </x:c>
      <x:c r="N278" s="6" t="str">
        <x:f t="shared" si="38"/>
      </x:c>
      <x:c r="O278" s="6" t="str">
        <x:f t="shared" si="39"/>
      </x:c>
    </x:row>
    <x:row r="279">
      <x:c r="A279" s="2"/>
      <x:c r="B279" s="2"/>
      <x:c r="C279" s="2"/>
      <x:c r="D279" s="2"/>
      <x:c r="E279" s="3" t="str">
        <x:f t="shared" si="32"/>
      </x:c>
      <x:c r="F279" s="3" t="str">
        <x:f t="shared" si="33"/>
      </x:c>
      <x:c r="G279" s="3" t="str">
        <x:f t="shared" si="34"/>
        <x:v>OMS2 확인</x:v>
      </x:c>
      <x:c r="H279" s="3" t="str">
        <x:f t="shared" si="35"/>
      </x:c>
      <x:c r="I279" s="3" t="str">
        <x:f t="shared" si="36"/>
      </x:c>
      <x:c r="J279" s="3" t="str">
        <x:f t="shared" si="37"/>
      </x:c>
      <x:c r="K279" s="4" t="str">
        <x:f>IF(A279="","",IFERROR(VLOOKUP(J279,MGMT_RULE!$A:$G,7,FALSE),IFERROR(VLOOKUP(H279,RULE_MAIN!$A:$F,6,FALSE),IFERROR(VLOOKUP(I279,RULE_MAIN!$A:$F,6,FALSE),"관리자 확인"))))</x:f>
      </x:c>
      <x:c r="L279" s="5" t="str">
        <x:f>IF(A279="","",IF(K279="관리자 확인","DNC 차단",IF(ISNUMBER(SEARCH("후보",K279)),"관리자 확인",IFERROR(IF(MATCH(K279,PG_LIST!$A:$A,0)&gt;0,"DNC 가능","Program 파일 없음"),"Program 파일 없음"))))</x:f>
      </x:c>
      <x:c r="M279" s="6" t="str">
        <x:f>IF(A279="","",IF(COUNTIF(MGMT_RULE!$A:$A,J279)&gt;0,"관리번호 전용 RULE",IF(COUNTIF(RULE_MAIN!$A:$A,H279)&gt;0,"정확 RULE",IF(COUNTIF(RULE_MAIN!$A:$A,I279)&gt;0,"ANY RULE","확정 RULE 필요"))))</x:f>
      </x:c>
      <x:c r="N279" s="6" t="str">
        <x:f t="shared" si="38"/>
      </x:c>
      <x:c r="O279" s="6" t="str">
        <x:f t="shared" si="39"/>
      </x:c>
    </x:row>
    <x:row r="280">
      <x:c r="A280" s="2"/>
      <x:c r="B280" s="2"/>
      <x:c r="C280" s="2"/>
      <x:c r="D280" s="2"/>
      <x:c r="E280" s="3" t="str">
        <x:f t="shared" si="32"/>
      </x:c>
      <x:c r="F280" s="3" t="str">
        <x:f t="shared" si="33"/>
      </x:c>
      <x:c r="G280" s="3" t="str">
        <x:f t="shared" si="34"/>
        <x:v>OMS2 확인</x:v>
      </x:c>
      <x:c r="H280" s="3" t="str">
        <x:f t="shared" si="35"/>
      </x:c>
      <x:c r="I280" s="3" t="str">
        <x:f t="shared" si="36"/>
      </x:c>
      <x:c r="J280" s="3" t="str">
        <x:f t="shared" si="37"/>
      </x:c>
      <x:c r="K280" s="4" t="str">
        <x:f>IF(A280="","",IFERROR(VLOOKUP(J280,MGMT_RULE!$A:$G,7,FALSE),IFERROR(VLOOKUP(H280,RULE_MAIN!$A:$F,6,FALSE),IFERROR(VLOOKUP(I280,RULE_MAIN!$A:$F,6,FALSE),"관리자 확인"))))</x:f>
      </x:c>
      <x:c r="L280" s="5" t="str">
        <x:f>IF(A280="","",IF(K280="관리자 확인","DNC 차단",IF(ISNUMBER(SEARCH("후보",K280)),"관리자 확인",IFERROR(IF(MATCH(K280,PG_LIST!$A:$A,0)&gt;0,"DNC 가능","Program 파일 없음"),"Program 파일 없음"))))</x:f>
      </x:c>
      <x:c r="M280" s="6" t="str">
        <x:f>IF(A280="","",IF(COUNTIF(MGMT_RULE!$A:$A,J280)&gt;0,"관리번호 전용 RULE",IF(COUNTIF(RULE_MAIN!$A:$A,H280)&gt;0,"정확 RULE",IF(COUNTIF(RULE_MAIN!$A:$A,I280)&gt;0,"ANY RULE","확정 RULE 필요"))))</x:f>
      </x:c>
      <x:c r="N280" s="6" t="str">
        <x:f t="shared" si="38"/>
      </x:c>
      <x:c r="O280" s="6" t="str">
        <x:f t="shared" si="39"/>
      </x:c>
    </x:row>
    <x:row r="281">
      <x:c r="A281" s="2"/>
      <x:c r="B281" s="2"/>
      <x:c r="C281" s="2"/>
      <x:c r="D281" s="2"/>
      <x:c r="E281" s="3" t="str">
        <x:f t="shared" si="32"/>
      </x:c>
      <x:c r="F281" s="3" t="str">
        <x:f t="shared" si="33"/>
      </x:c>
      <x:c r="G281" s="3" t="str">
        <x:f t="shared" si="34"/>
        <x:v>OMS2 확인</x:v>
      </x:c>
      <x:c r="H281" s="3" t="str">
        <x:f t="shared" si="35"/>
      </x:c>
      <x:c r="I281" s="3" t="str">
        <x:f t="shared" si="36"/>
      </x:c>
      <x:c r="J281" s="3" t="str">
        <x:f t="shared" si="37"/>
      </x:c>
      <x:c r="K281" s="4" t="str">
        <x:f>IF(A281="","",IFERROR(VLOOKUP(J281,MGMT_RULE!$A:$G,7,FALSE),IFERROR(VLOOKUP(H281,RULE_MAIN!$A:$F,6,FALSE),IFERROR(VLOOKUP(I281,RULE_MAIN!$A:$F,6,FALSE),"관리자 확인"))))</x:f>
      </x:c>
      <x:c r="L281" s="5" t="str">
        <x:f>IF(A281="","",IF(K281="관리자 확인","DNC 차단",IF(ISNUMBER(SEARCH("후보",K281)),"관리자 확인",IFERROR(IF(MATCH(K281,PG_LIST!$A:$A,0)&gt;0,"DNC 가능","Program 파일 없음"),"Program 파일 없음"))))</x:f>
      </x:c>
      <x:c r="M281" s="6" t="str">
        <x:f>IF(A281="","",IF(COUNTIF(MGMT_RULE!$A:$A,J281)&gt;0,"관리번호 전용 RULE",IF(COUNTIF(RULE_MAIN!$A:$A,H281)&gt;0,"정확 RULE",IF(COUNTIF(RULE_MAIN!$A:$A,I281)&gt;0,"ANY RULE","확정 RULE 필요"))))</x:f>
      </x:c>
      <x:c r="N281" s="6" t="str">
        <x:f t="shared" si="38"/>
      </x:c>
      <x:c r="O281" s="6" t="str">
        <x:f t="shared" si="39"/>
      </x:c>
    </x:row>
    <x:row r="282">
      <x:c r="A282" s="2"/>
      <x:c r="B282" s="2"/>
      <x:c r="C282" s="2"/>
      <x:c r="D282" s="2"/>
      <x:c r="E282" s="3" t="str">
        <x:f t="shared" si="32"/>
      </x:c>
      <x:c r="F282" s="3" t="str">
        <x:f t="shared" si="33"/>
      </x:c>
      <x:c r="G282" s="3" t="str">
        <x:f t="shared" si="34"/>
        <x:v>OMS2 확인</x:v>
      </x:c>
      <x:c r="H282" s="3" t="str">
        <x:f t="shared" si="35"/>
      </x:c>
      <x:c r="I282" s="3" t="str">
        <x:f t="shared" si="36"/>
      </x:c>
      <x:c r="J282" s="3" t="str">
        <x:f t="shared" si="37"/>
      </x:c>
      <x:c r="K282" s="4" t="str">
        <x:f>IF(A282="","",IFERROR(VLOOKUP(J282,MGMT_RULE!$A:$G,7,FALSE),IFERROR(VLOOKUP(H282,RULE_MAIN!$A:$F,6,FALSE),IFERROR(VLOOKUP(I282,RULE_MAIN!$A:$F,6,FALSE),"관리자 확인"))))</x:f>
      </x:c>
      <x:c r="L282" s="5" t="str">
        <x:f>IF(A282="","",IF(K282="관리자 확인","DNC 차단",IF(ISNUMBER(SEARCH("후보",K282)),"관리자 확인",IFERROR(IF(MATCH(K282,PG_LIST!$A:$A,0)&gt;0,"DNC 가능","Program 파일 없음"),"Program 파일 없음"))))</x:f>
      </x:c>
      <x:c r="M282" s="6" t="str">
        <x:f>IF(A282="","",IF(COUNTIF(MGMT_RULE!$A:$A,J282)&gt;0,"관리번호 전용 RULE",IF(COUNTIF(RULE_MAIN!$A:$A,H282)&gt;0,"정확 RULE",IF(COUNTIF(RULE_MAIN!$A:$A,I282)&gt;0,"ANY RULE","확정 RULE 필요"))))</x:f>
      </x:c>
      <x:c r="N282" s="6" t="str">
        <x:f t="shared" si="38"/>
      </x:c>
      <x:c r="O282" s="6" t="str">
        <x:f t="shared" si="39"/>
      </x:c>
    </x:row>
    <x:row r="283">
      <x:c r="A283" s="2"/>
      <x:c r="B283" s="2"/>
      <x:c r="C283" s="2"/>
      <x:c r="D283" s="2"/>
      <x:c r="E283" s="3" t="str">
        <x:f t="shared" si="32"/>
      </x:c>
      <x:c r="F283" s="3" t="str">
        <x:f t="shared" si="33"/>
      </x:c>
      <x:c r="G283" s="3" t="str">
        <x:f t="shared" si="34"/>
        <x:v>OMS2 확인</x:v>
      </x:c>
      <x:c r="H283" s="3" t="str">
        <x:f t="shared" si="35"/>
      </x:c>
      <x:c r="I283" s="3" t="str">
        <x:f t="shared" si="36"/>
      </x:c>
      <x:c r="J283" s="3" t="str">
        <x:f t="shared" si="37"/>
      </x:c>
      <x:c r="K283" s="4" t="str">
        <x:f>IF(A283="","",IFERROR(VLOOKUP(J283,MGMT_RULE!$A:$G,7,FALSE),IFERROR(VLOOKUP(H283,RULE_MAIN!$A:$F,6,FALSE),IFERROR(VLOOKUP(I283,RULE_MAIN!$A:$F,6,FALSE),"관리자 확인"))))</x:f>
      </x:c>
      <x:c r="L283" s="5" t="str">
        <x:f>IF(A283="","",IF(K283="관리자 확인","DNC 차단",IF(ISNUMBER(SEARCH("후보",K283)),"관리자 확인",IFERROR(IF(MATCH(K283,PG_LIST!$A:$A,0)&gt;0,"DNC 가능","Program 파일 없음"),"Program 파일 없음"))))</x:f>
      </x:c>
      <x:c r="M283" s="6" t="str">
        <x:f>IF(A283="","",IF(COUNTIF(MGMT_RULE!$A:$A,J283)&gt;0,"관리번호 전용 RULE",IF(COUNTIF(RULE_MAIN!$A:$A,H283)&gt;0,"정확 RULE",IF(COUNTIF(RULE_MAIN!$A:$A,I283)&gt;0,"ANY RULE","확정 RULE 필요"))))</x:f>
      </x:c>
      <x:c r="N283" s="6" t="str">
        <x:f t="shared" si="38"/>
      </x:c>
      <x:c r="O283" s="6" t="str">
        <x:f t="shared" si="39"/>
      </x:c>
    </x:row>
    <x:row r="284">
      <x:c r="A284" s="2"/>
      <x:c r="B284" s="2"/>
      <x:c r="C284" s="2"/>
      <x:c r="D284" s="2"/>
      <x:c r="E284" s="3" t="str">
        <x:f t="shared" si="32"/>
      </x:c>
      <x:c r="F284" s="3" t="str">
        <x:f t="shared" si="33"/>
      </x:c>
      <x:c r="G284" s="3" t="str">
        <x:f t="shared" si="34"/>
        <x:v>OMS2 확인</x:v>
      </x:c>
      <x:c r="H284" s="3" t="str">
        <x:f t="shared" si="35"/>
      </x:c>
      <x:c r="I284" s="3" t="str">
        <x:f t="shared" si="36"/>
      </x:c>
      <x:c r="J284" s="3" t="str">
        <x:f t="shared" si="37"/>
      </x:c>
      <x:c r="K284" s="4" t="str">
        <x:f>IF(A284="","",IFERROR(VLOOKUP(J284,MGMT_RULE!$A:$G,7,FALSE),IFERROR(VLOOKUP(H284,RULE_MAIN!$A:$F,6,FALSE),IFERROR(VLOOKUP(I284,RULE_MAIN!$A:$F,6,FALSE),"관리자 확인"))))</x:f>
      </x:c>
      <x:c r="L284" s="5" t="str">
        <x:f>IF(A284="","",IF(K284="관리자 확인","DNC 차단",IF(ISNUMBER(SEARCH("후보",K284)),"관리자 확인",IFERROR(IF(MATCH(K284,PG_LIST!$A:$A,0)&gt;0,"DNC 가능","Program 파일 없음"),"Program 파일 없음"))))</x:f>
      </x:c>
      <x:c r="M284" s="6" t="str">
        <x:f>IF(A284="","",IF(COUNTIF(MGMT_RULE!$A:$A,J284)&gt;0,"관리번호 전용 RULE",IF(COUNTIF(RULE_MAIN!$A:$A,H284)&gt;0,"정확 RULE",IF(COUNTIF(RULE_MAIN!$A:$A,I284)&gt;0,"ANY RULE","확정 RULE 필요"))))</x:f>
      </x:c>
      <x:c r="N284" s="6" t="str">
        <x:f t="shared" si="38"/>
      </x:c>
      <x:c r="O284" s="6" t="str">
        <x:f t="shared" si="39"/>
      </x:c>
    </x:row>
    <x:row r="285">
      <x:c r="A285" s="2"/>
      <x:c r="B285" s="2"/>
      <x:c r="C285" s="2"/>
      <x:c r="D285" s="2"/>
      <x:c r="E285" s="3" t="str">
        <x:f t="shared" si="32"/>
      </x:c>
      <x:c r="F285" s="3" t="str">
        <x:f t="shared" si="33"/>
      </x:c>
      <x:c r="G285" s="3" t="str">
        <x:f t="shared" si="34"/>
        <x:v>OMS2 확인</x:v>
      </x:c>
      <x:c r="H285" s="3" t="str">
        <x:f t="shared" si="35"/>
      </x:c>
      <x:c r="I285" s="3" t="str">
        <x:f t="shared" si="36"/>
      </x:c>
      <x:c r="J285" s="3" t="str">
        <x:f t="shared" si="37"/>
      </x:c>
      <x:c r="K285" s="4" t="str">
        <x:f>IF(A285="","",IFERROR(VLOOKUP(J285,MGMT_RULE!$A:$G,7,FALSE),IFERROR(VLOOKUP(H285,RULE_MAIN!$A:$F,6,FALSE),IFERROR(VLOOKUP(I285,RULE_MAIN!$A:$F,6,FALSE),"관리자 확인"))))</x:f>
      </x:c>
      <x:c r="L285" s="5" t="str">
        <x:f>IF(A285="","",IF(K285="관리자 확인","DNC 차단",IF(ISNUMBER(SEARCH("후보",K285)),"관리자 확인",IFERROR(IF(MATCH(K285,PG_LIST!$A:$A,0)&gt;0,"DNC 가능","Program 파일 없음"),"Program 파일 없음"))))</x:f>
      </x:c>
      <x:c r="M285" s="6" t="str">
        <x:f>IF(A285="","",IF(COUNTIF(MGMT_RULE!$A:$A,J285)&gt;0,"관리번호 전용 RULE",IF(COUNTIF(RULE_MAIN!$A:$A,H285)&gt;0,"정확 RULE",IF(COUNTIF(RULE_MAIN!$A:$A,I285)&gt;0,"ANY RULE","확정 RULE 필요"))))</x:f>
      </x:c>
      <x:c r="N285" s="6" t="str">
        <x:f t="shared" si="38"/>
      </x:c>
      <x:c r="O285" s="6" t="str">
        <x:f t="shared" si="39"/>
      </x:c>
    </x:row>
    <x:row r="286">
      <x:c r="A286" s="2"/>
      <x:c r="B286" s="2"/>
      <x:c r="C286" s="2"/>
      <x:c r="D286" s="2"/>
      <x:c r="E286" s="3" t="str">
        <x:f t="shared" si="32"/>
      </x:c>
      <x:c r="F286" s="3" t="str">
        <x:f t="shared" si="33"/>
      </x:c>
      <x:c r="G286" s="3" t="str">
        <x:f t="shared" si="34"/>
        <x:v>OMS2 확인</x:v>
      </x:c>
      <x:c r="H286" s="3" t="str">
        <x:f t="shared" si="35"/>
      </x:c>
      <x:c r="I286" s="3" t="str">
        <x:f t="shared" si="36"/>
      </x:c>
      <x:c r="J286" s="3" t="str">
        <x:f t="shared" si="37"/>
      </x:c>
      <x:c r="K286" s="4" t="str">
        <x:f>IF(A286="","",IFERROR(VLOOKUP(J286,MGMT_RULE!$A:$G,7,FALSE),IFERROR(VLOOKUP(H286,RULE_MAIN!$A:$F,6,FALSE),IFERROR(VLOOKUP(I286,RULE_MAIN!$A:$F,6,FALSE),"관리자 확인"))))</x:f>
      </x:c>
      <x:c r="L286" s="5" t="str">
        <x:f>IF(A286="","",IF(K286="관리자 확인","DNC 차단",IF(ISNUMBER(SEARCH("후보",K286)),"관리자 확인",IFERROR(IF(MATCH(K286,PG_LIST!$A:$A,0)&gt;0,"DNC 가능","Program 파일 없음"),"Program 파일 없음"))))</x:f>
      </x:c>
      <x:c r="M286" s="6" t="str">
        <x:f>IF(A286="","",IF(COUNTIF(MGMT_RULE!$A:$A,J286)&gt;0,"관리번호 전용 RULE",IF(COUNTIF(RULE_MAIN!$A:$A,H286)&gt;0,"정확 RULE",IF(COUNTIF(RULE_MAIN!$A:$A,I286)&gt;0,"ANY RULE","확정 RULE 필요"))))</x:f>
      </x:c>
      <x:c r="N286" s="6" t="str">
        <x:f t="shared" si="38"/>
      </x:c>
      <x:c r="O286" s="6" t="str">
        <x:f t="shared" si="39"/>
      </x:c>
    </x:row>
    <x:row r="287">
      <x:c r="A287" s="2"/>
      <x:c r="B287" s="2"/>
      <x:c r="C287" s="2"/>
      <x:c r="D287" s="2"/>
      <x:c r="E287" s="3" t="str">
        <x:f t="shared" si="32"/>
      </x:c>
      <x:c r="F287" s="3" t="str">
        <x:f t="shared" si="33"/>
      </x:c>
      <x:c r="G287" s="3" t="str">
        <x:f t="shared" si="34"/>
        <x:v>OMS2 확인</x:v>
      </x:c>
      <x:c r="H287" s="3" t="str">
        <x:f t="shared" si="35"/>
      </x:c>
      <x:c r="I287" s="3" t="str">
        <x:f t="shared" si="36"/>
      </x:c>
      <x:c r="J287" s="3" t="str">
        <x:f t="shared" si="37"/>
      </x:c>
      <x:c r="K287" s="4" t="str">
        <x:f>IF(A287="","",IFERROR(VLOOKUP(J287,MGMT_RULE!$A:$G,7,FALSE),IFERROR(VLOOKUP(H287,RULE_MAIN!$A:$F,6,FALSE),IFERROR(VLOOKUP(I287,RULE_MAIN!$A:$F,6,FALSE),"관리자 확인"))))</x:f>
      </x:c>
      <x:c r="L287" s="5" t="str">
        <x:f>IF(A287="","",IF(K287="관리자 확인","DNC 차단",IF(ISNUMBER(SEARCH("후보",K287)),"관리자 확인",IFERROR(IF(MATCH(K287,PG_LIST!$A:$A,0)&gt;0,"DNC 가능","Program 파일 없음"),"Program 파일 없음"))))</x:f>
      </x:c>
      <x:c r="M287" s="6" t="str">
        <x:f>IF(A287="","",IF(COUNTIF(MGMT_RULE!$A:$A,J287)&gt;0,"관리번호 전용 RULE",IF(COUNTIF(RULE_MAIN!$A:$A,H287)&gt;0,"정확 RULE",IF(COUNTIF(RULE_MAIN!$A:$A,I287)&gt;0,"ANY RULE","확정 RULE 필요"))))</x:f>
      </x:c>
      <x:c r="N287" s="6" t="str">
        <x:f t="shared" si="38"/>
      </x:c>
      <x:c r="O287" s="6" t="str">
        <x:f t="shared" si="39"/>
      </x:c>
    </x:row>
    <x:row r="288">
      <x:c r="A288" s="2"/>
      <x:c r="B288" s="2"/>
      <x:c r="C288" s="2"/>
      <x:c r="D288" s="2"/>
      <x:c r="E288" s="3" t="str">
        <x:f t="shared" si="32"/>
      </x:c>
      <x:c r="F288" s="3" t="str">
        <x:f t="shared" si="33"/>
      </x:c>
      <x:c r="G288" s="3" t="str">
        <x:f t="shared" si="34"/>
        <x:v>OMS2 확인</x:v>
      </x:c>
      <x:c r="H288" s="3" t="str">
        <x:f t="shared" si="35"/>
      </x:c>
      <x:c r="I288" s="3" t="str">
        <x:f t="shared" si="36"/>
      </x:c>
      <x:c r="J288" s="3" t="str">
        <x:f t="shared" si="37"/>
      </x:c>
      <x:c r="K288" s="4" t="str">
        <x:f>IF(A288="","",IFERROR(VLOOKUP(J288,MGMT_RULE!$A:$G,7,FALSE),IFERROR(VLOOKUP(H288,RULE_MAIN!$A:$F,6,FALSE),IFERROR(VLOOKUP(I288,RULE_MAIN!$A:$F,6,FALSE),"관리자 확인"))))</x:f>
      </x:c>
      <x:c r="L288" s="5" t="str">
        <x:f>IF(A288="","",IF(K288="관리자 확인","DNC 차단",IF(ISNUMBER(SEARCH("후보",K288)),"관리자 확인",IFERROR(IF(MATCH(K288,PG_LIST!$A:$A,0)&gt;0,"DNC 가능","Program 파일 없음"),"Program 파일 없음"))))</x:f>
      </x:c>
      <x:c r="M288" s="6" t="str">
        <x:f>IF(A288="","",IF(COUNTIF(MGMT_RULE!$A:$A,J288)&gt;0,"관리번호 전용 RULE",IF(COUNTIF(RULE_MAIN!$A:$A,H288)&gt;0,"정확 RULE",IF(COUNTIF(RULE_MAIN!$A:$A,I288)&gt;0,"ANY RULE","확정 RULE 필요"))))</x:f>
      </x:c>
      <x:c r="N288" s="6" t="str">
        <x:f t="shared" si="38"/>
      </x:c>
      <x:c r="O288" s="6" t="str">
        <x:f t="shared" si="39"/>
      </x:c>
    </x:row>
    <x:row r="289">
      <x:c r="A289" s="2"/>
      <x:c r="B289" s="2"/>
      <x:c r="C289" s="2"/>
      <x:c r="D289" s="2"/>
      <x:c r="E289" s="3" t="str">
        <x:f t="shared" si="32"/>
      </x:c>
      <x:c r="F289" s="3" t="str">
        <x:f t="shared" si="33"/>
      </x:c>
      <x:c r="G289" s="3" t="str">
        <x:f t="shared" si="34"/>
        <x:v>OMS2 확인</x:v>
      </x:c>
      <x:c r="H289" s="3" t="str">
        <x:f t="shared" si="35"/>
      </x:c>
      <x:c r="I289" s="3" t="str">
        <x:f t="shared" si="36"/>
      </x:c>
      <x:c r="J289" s="3" t="str">
        <x:f t="shared" si="37"/>
      </x:c>
      <x:c r="K289" s="4" t="str">
        <x:f>IF(A289="","",IFERROR(VLOOKUP(J289,MGMT_RULE!$A:$G,7,FALSE),IFERROR(VLOOKUP(H289,RULE_MAIN!$A:$F,6,FALSE),IFERROR(VLOOKUP(I289,RULE_MAIN!$A:$F,6,FALSE),"관리자 확인"))))</x:f>
      </x:c>
      <x:c r="L289" s="5" t="str">
        <x:f>IF(A289="","",IF(K289="관리자 확인","DNC 차단",IF(ISNUMBER(SEARCH("후보",K289)),"관리자 확인",IFERROR(IF(MATCH(K289,PG_LIST!$A:$A,0)&gt;0,"DNC 가능","Program 파일 없음"),"Program 파일 없음"))))</x:f>
      </x:c>
      <x:c r="M289" s="6" t="str">
        <x:f>IF(A289="","",IF(COUNTIF(MGMT_RULE!$A:$A,J289)&gt;0,"관리번호 전용 RULE",IF(COUNTIF(RULE_MAIN!$A:$A,H289)&gt;0,"정확 RULE",IF(COUNTIF(RULE_MAIN!$A:$A,I289)&gt;0,"ANY RULE","확정 RULE 필요"))))</x:f>
      </x:c>
      <x:c r="N289" s="6" t="str">
        <x:f t="shared" si="38"/>
      </x:c>
      <x:c r="O289" s="6" t="str">
        <x:f t="shared" si="39"/>
      </x:c>
    </x:row>
    <x:row r="290">
      <x:c r="A290" s="2"/>
      <x:c r="B290" s="2"/>
      <x:c r="C290" s="2"/>
      <x:c r="D290" s="2"/>
      <x:c r="E290" s="3" t="str">
        <x:f t="shared" si="32"/>
      </x:c>
      <x:c r="F290" s="3" t="str">
        <x:f t="shared" si="33"/>
      </x:c>
      <x:c r="G290" s="3" t="str">
        <x:f t="shared" si="34"/>
        <x:v>OMS2 확인</x:v>
      </x:c>
      <x:c r="H290" s="3" t="str">
        <x:f t="shared" si="35"/>
      </x:c>
      <x:c r="I290" s="3" t="str">
        <x:f t="shared" si="36"/>
      </x:c>
      <x:c r="J290" s="3" t="str">
        <x:f t="shared" si="37"/>
      </x:c>
      <x:c r="K290" s="4" t="str">
        <x:f>IF(A290="","",IFERROR(VLOOKUP(J290,MGMT_RULE!$A:$G,7,FALSE),IFERROR(VLOOKUP(H290,RULE_MAIN!$A:$F,6,FALSE),IFERROR(VLOOKUP(I290,RULE_MAIN!$A:$F,6,FALSE),"관리자 확인"))))</x:f>
      </x:c>
      <x:c r="L290" s="5" t="str">
        <x:f>IF(A290="","",IF(K290="관리자 확인","DNC 차단",IF(ISNUMBER(SEARCH("후보",K290)),"관리자 확인",IFERROR(IF(MATCH(K290,PG_LIST!$A:$A,0)&gt;0,"DNC 가능","Program 파일 없음"),"Program 파일 없음"))))</x:f>
      </x:c>
      <x:c r="M290" s="6" t="str">
        <x:f>IF(A290="","",IF(COUNTIF(MGMT_RULE!$A:$A,J290)&gt;0,"관리번호 전용 RULE",IF(COUNTIF(RULE_MAIN!$A:$A,H290)&gt;0,"정확 RULE",IF(COUNTIF(RULE_MAIN!$A:$A,I290)&gt;0,"ANY RULE","확정 RULE 필요"))))</x:f>
      </x:c>
      <x:c r="N290" s="6" t="str">
        <x:f t="shared" si="38"/>
      </x:c>
      <x:c r="O290" s="6" t="str">
        <x:f t="shared" si="39"/>
      </x:c>
    </x:row>
    <x:row r="291">
      <x:c r="A291" s="2"/>
      <x:c r="B291" s="2"/>
      <x:c r="C291" s="2"/>
      <x:c r="D291" s="2"/>
      <x:c r="E291" s="3" t="str">
        <x:f t="shared" si="32"/>
      </x:c>
      <x:c r="F291" s="3" t="str">
        <x:f t="shared" si="33"/>
      </x:c>
      <x:c r="G291" s="3" t="str">
        <x:f t="shared" si="34"/>
        <x:v>OMS2 확인</x:v>
      </x:c>
      <x:c r="H291" s="3" t="str">
        <x:f t="shared" si="35"/>
      </x:c>
      <x:c r="I291" s="3" t="str">
        <x:f t="shared" si="36"/>
      </x:c>
      <x:c r="J291" s="3" t="str">
        <x:f t="shared" si="37"/>
      </x:c>
      <x:c r="K291" s="4" t="str">
        <x:f>IF(A291="","",IFERROR(VLOOKUP(J291,MGMT_RULE!$A:$G,7,FALSE),IFERROR(VLOOKUP(H291,RULE_MAIN!$A:$F,6,FALSE),IFERROR(VLOOKUP(I291,RULE_MAIN!$A:$F,6,FALSE),"관리자 확인"))))</x:f>
      </x:c>
      <x:c r="L291" s="5" t="str">
        <x:f>IF(A291="","",IF(K291="관리자 확인","DNC 차단",IF(ISNUMBER(SEARCH("후보",K291)),"관리자 확인",IFERROR(IF(MATCH(K291,PG_LIST!$A:$A,0)&gt;0,"DNC 가능","Program 파일 없음"),"Program 파일 없음"))))</x:f>
      </x:c>
      <x:c r="M291" s="6" t="str">
        <x:f>IF(A291="","",IF(COUNTIF(MGMT_RULE!$A:$A,J291)&gt;0,"관리번호 전용 RULE",IF(COUNTIF(RULE_MAIN!$A:$A,H291)&gt;0,"정확 RULE",IF(COUNTIF(RULE_MAIN!$A:$A,I291)&gt;0,"ANY RULE","확정 RULE 필요"))))</x:f>
      </x:c>
      <x:c r="N291" s="6" t="str">
        <x:f t="shared" si="38"/>
      </x:c>
      <x:c r="O291" s="6" t="str">
        <x:f t="shared" si="39"/>
      </x:c>
    </x:row>
    <x:row r="292">
      <x:c r="A292" s="2"/>
      <x:c r="B292" s="2"/>
      <x:c r="C292" s="2"/>
      <x:c r="D292" s="2"/>
      <x:c r="E292" s="3" t="str">
        <x:f t="shared" si="32"/>
      </x:c>
      <x:c r="F292" s="3" t="str">
        <x:f t="shared" si="33"/>
      </x:c>
      <x:c r="G292" s="3" t="str">
        <x:f t="shared" si="34"/>
        <x:v>OMS2 확인</x:v>
      </x:c>
      <x:c r="H292" s="3" t="str">
        <x:f t="shared" si="35"/>
      </x:c>
      <x:c r="I292" s="3" t="str">
        <x:f t="shared" si="36"/>
      </x:c>
      <x:c r="J292" s="3" t="str">
        <x:f t="shared" si="37"/>
      </x:c>
      <x:c r="K292" s="4" t="str">
        <x:f>IF(A292="","",IFERROR(VLOOKUP(J292,MGMT_RULE!$A:$G,7,FALSE),IFERROR(VLOOKUP(H292,RULE_MAIN!$A:$F,6,FALSE),IFERROR(VLOOKUP(I292,RULE_MAIN!$A:$F,6,FALSE),"관리자 확인"))))</x:f>
      </x:c>
      <x:c r="L292" s="5" t="str">
        <x:f>IF(A292="","",IF(K292="관리자 확인","DNC 차단",IF(ISNUMBER(SEARCH("후보",K292)),"관리자 확인",IFERROR(IF(MATCH(K292,PG_LIST!$A:$A,0)&gt;0,"DNC 가능","Program 파일 없음"),"Program 파일 없음"))))</x:f>
      </x:c>
      <x:c r="M292" s="6" t="str">
        <x:f>IF(A292="","",IF(COUNTIF(MGMT_RULE!$A:$A,J292)&gt;0,"관리번호 전용 RULE",IF(COUNTIF(RULE_MAIN!$A:$A,H292)&gt;0,"정확 RULE",IF(COUNTIF(RULE_MAIN!$A:$A,I292)&gt;0,"ANY RULE","확정 RULE 필요"))))</x:f>
      </x:c>
      <x:c r="N292" s="6" t="str">
        <x:f t="shared" si="38"/>
      </x:c>
      <x:c r="O292" s="6" t="str">
        <x:f t="shared" si="39"/>
      </x:c>
    </x:row>
    <x:row r="293">
      <x:c r="A293" s="2"/>
      <x:c r="B293" s="2"/>
      <x:c r="C293" s="2"/>
      <x:c r="D293" s="2"/>
      <x:c r="E293" s="3" t="str">
        <x:f t="shared" si="32"/>
      </x:c>
      <x:c r="F293" s="3" t="str">
        <x:f t="shared" si="33"/>
      </x:c>
      <x:c r="G293" s="3" t="str">
        <x:f t="shared" si="34"/>
        <x:v>OMS2 확인</x:v>
      </x:c>
      <x:c r="H293" s="3" t="str">
        <x:f t="shared" si="35"/>
      </x:c>
      <x:c r="I293" s="3" t="str">
        <x:f t="shared" si="36"/>
      </x:c>
      <x:c r="J293" s="3" t="str">
        <x:f t="shared" si="37"/>
      </x:c>
      <x:c r="K293" s="4" t="str">
        <x:f>IF(A293="","",IFERROR(VLOOKUP(J293,MGMT_RULE!$A:$G,7,FALSE),IFERROR(VLOOKUP(H293,RULE_MAIN!$A:$F,6,FALSE),IFERROR(VLOOKUP(I293,RULE_MAIN!$A:$F,6,FALSE),"관리자 확인"))))</x:f>
      </x:c>
      <x:c r="L293" s="5" t="str">
        <x:f>IF(A293="","",IF(K293="관리자 확인","DNC 차단",IF(ISNUMBER(SEARCH("후보",K293)),"관리자 확인",IFERROR(IF(MATCH(K293,PG_LIST!$A:$A,0)&gt;0,"DNC 가능","Program 파일 없음"),"Program 파일 없음"))))</x:f>
      </x:c>
      <x:c r="M293" s="6" t="str">
        <x:f>IF(A293="","",IF(COUNTIF(MGMT_RULE!$A:$A,J293)&gt;0,"관리번호 전용 RULE",IF(COUNTIF(RULE_MAIN!$A:$A,H293)&gt;0,"정확 RULE",IF(COUNTIF(RULE_MAIN!$A:$A,I293)&gt;0,"ANY RULE","확정 RULE 필요"))))</x:f>
      </x:c>
      <x:c r="N293" s="6" t="str">
        <x:f t="shared" si="38"/>
      </x:c>
      <x:c r="O293" s="6" t="str">
        <x:f t="shared" si="39"/>
      </x:c>
    </x:row>
    <x:row r="294">
      <x:c r="A294" s="2"/>
      <x:c r="B294" s="2"/>
      <x:c r="C294" s="2"/>
      <x:c r="D294" s="2"/>
      <x:c r="E294" s="3" t="str">
        <x:f t="shared" si="32"/>
      </x:c>
      <x:c r="F294" s="3" t="str">
        <x:f t="shared" si="33"/>
      </x:c>
      <x:c r="G294" s="3" t="str">
        <x:f t="shared" si="34"/>
        <x:v>OMS2 확인</x:v>
      </x:c>
      <x:c r="H294" s="3" t="str">
        <x:f t="shared" si="35"/>
      </x:c>
      <x:c r="I294" s="3" t="str">
        <x:f t="shared" si="36"/>
      </x:c>
      <x:c r="J294" s="3" t="str">
        <x:f t="shared" si="37"/>
      </x:c>
      <x:c r="K294" s="4" t="str">
        <x:f>IF(A294="","",IFERROR(VLOOKUP(J294,MGMT_RULE!$A:$G,7,FALSE),IFERROR(VLOOKUP(H294,RULE_MAIN!$A:$F,6,FALSE),IFERROR(VLOOKUP(I294,RULE_MAIN!$A:$F,6,FALSE),"관리자 확인"))))</x:f>
      </x:c>
      <x:c r="L294" s="5" t="str">
        <x:f>IF(A294="","",IF(K294="관리자 확인","DNC 차단",IF(ISNUMBER(SEARCH("후보",K294)),"관리자 확인",IFERROR(IF(MATCH(K294,PG_LIST!$A:$A,0)&gt;0,"DNC 가능","Program 파일 없음"),"Program 파일 없음"))))</x:f>
      </x:c>
      <x:c r="M294" s="6" t="str">
        <x:f>IF(A294="","",IF(COUNTIF(MGMT_RULE!$A:$A,J294)&gt;0,"관리번호 전용 RULE",IF(COUNTIF(RULE_MAIN!$A:$A,H294)&gt;0,"정확 RULE",IF(COUNTIF(RULE_MAIN!$A:$A,I294)&gt;0,"ANY RULE","확정 RULE 필요"))))</x:f>
      </x:c>
      <x:c r="N294" s="6" t="str">
        <x:f t="shared" si="38"/>
      </x:c>
      <x:c r="O294" s="6" t="str">
        <x:f t="shared" si="39"/>
      </x:c>
    </x:row>
    <x:row r="295">
      <x:c r="A295" s="2"/>
      <x:c r="B295" s="2"/>
      <x:c r="C295" s="2"/>
      <x:c r="D295" s="2"/>
      <x:c r="E295" s="3" t="str">
        <x:f t="shared" si="32"/>
      </x:c>
      <x:c r="F295" s="3" t="str">
        <x:f t="shared" si="33"/>
      </x:c>
      <x:c r="G295" s="3" t="str">
        <x:f t="shared" si="34"/>
        <x:v>OMS2 확인</x:v>
      </x:c>
      <x:c r="H295" s="3" t="str">
        <x:f t="shared" si="35"/>
      </x:c>
      <x:c r="I295" s="3" t="str">
        <x:f t="shared" si="36"/>
      </x:c>
      <x:c r="J295" s="3" t="str">
        <x:f t="shared" si="37"/>
      </x:c>
      <x:c r="K295" s="4" t="str">
        <x:f>IF(A295="","",IFERROR(VLOOKUP(J295,MGMT_RULE!$A:$G,7,FALSE),IFERROR(VLOOKUP(H295,RULE_MAIN!$A:$F,6,FALSE),IFERROR(VLOOKUP(I295,RULE_MAIN!$A:$F,6,FALSE),"관리자 확인"))))</x:f>
      </x:c>
      <x:c r="L295" s="5" t="str">
        <x:f>IF(A295="","",IF(K295="관리자 확인","DNC 차단",IF(ISNUMBER(SEARCH("후보",K295)),"관리자 확인",IFERROR(IF(MATCH(K295,PG_LIST!$A:$A,0)&gt;0,"DNC 가능","Program 파일 없음"),"Program 파일 없음"))))</x:f>
      </x:c>
      <x:c r="M295" s="6" t="str">
        <x:f>IF(A295="","",IF(COUNTIF(MGMT_RULE!$A:$A,J295)&gt;0,"관리번호 전용 RULE",IF(COUNTIF(RULE_MAIN!$A:$A,H295)&gt;0,"정확 RULE",IF(COUNTIF(RULE_MAIN!$A:$A,I295)&gt;0,"ANY RULE","확정 RULE 필요"))))</x:f>
      </x:c>
      <x:c r="N295" s="6" t="str">
        <x:f t="shared" si="38"/>
      </x:c>
      <x:c r="O295" s="6" t="str">
        <x:f t="shared" si="39"/>
      </x:c>
    </x:row>
    <x:row r="296">
      <x:c r="A296" s="2"/>
      <x:c r="B296" s="2"/>
      <x:c r="C296" s="2"/>
      <x:c r="D296" s="2"/>
      <x:c r="E296" s="3" t="str">
        <x:f t="shared" si="32"/>
      </x:c>
      <x:c r="F296" s="3" t="str">
        <x:f t="shared" si="33"/>
      </x:c>
      <x:c r="G296" s="3" t="str">
        <x:f t="shared" si="34"/>
        <x:v>OMS2 확인</x:v>
      </x:c>
      <x:c r="H296" s="3" t="str">
        <x:f t="shared" si="35"/>
      </x:c>
      <x:c r="I296" s="3" t="str">
        <x:f t="shared" si="36"/>
      </x:c>
      <x:c r="J296" s="3" t="str">
        <x:f t="shared" si="37"/>
      </x:c>
      <x:c r="K296" s="4" t="str">
        <x:f>IF(A296="","",IFERROR(VLOOKUP(J296,MGMT_RULE!$A:$G,7,FALSE),IFERROR(VLOOKUP(H296,RULE_MAIN!$A:$F,6,FALSE),IFERROR(VLOOKUP(I296,RULE_MAIN!$A:$F,6,FALSE),"관리자 확인"))))</x:f>
      </x:c>
      <x:c r="L296" s="5" t="str">
        <x:f>IF(A296="","",IF(K296="관리자 확인","DNC 차단",IF(ISNUMBER(SEARCH("후보",K296)),"관리자 확인",IFERROR(IF(MATCH(K296,PG_LIST!$A:$A,0)&gt;0,"DNC 가능","Program 파일 없음"),"Program 파일 없음"))))</x:f>
      </x:c>
      <x:c r="M296" s="6" t="str">
        <x:f>IF(A296="","",IF(COUNTIF(MGMT_RULE!$A:$A,J296)&gt;0,"관리번호 전용 RULE",IF(COUNTIF(RULE_MAIN!$A:$A,H296)&gt;0,"정확 RULE",IF(COUNTIF(RULE_MAIN!$A:$A,I296)&gt;0,"ANY RULE","확정 RULE 필요"))))</x:f>
      </x:c>
      <x:c r="N296" s="6" t="str">
        <x:f t="shared" si="38"/>
      </x:c>
      <x:c r="O296" s="6" t="str">
        <x:f t="shared" si="39"/>
      </x:c>
    </x:row>
    <x:row r="297">
      <x:c r="A297" s="2"/>
      <x:c r="B297" s="2"/>
      <x:c r="C297" s="2"/>
      <x:c r="D297" s="2"/>
      <x:c r="E297" s="3" t="str">
        <x:f t="shared" si="32"/>
      </x:c>
      <x:c r="F297" s="3" t="str">
        <x:f t="shared" si="33"/>
      </x:c>
      <x:c r="G297" s="3" t="str">
        <x:f t="shared" si="34"/>
        <x:v>OMS2 확인</x:v>
      </x:c>
      <x:c r="H297" s="3" t="str">
        <x:f t="shared" si="35"/>
      </x:c>
      <x:c r="I297" s="3" t="str">
        <x:f t="shared" si="36"/>
      </x:c>
      <x:c r="J297" s="3" t="str">
        <x:f t="shared" si="37"/>
      </x:c>
      <x:c r="K297" s="4" t="str">
        <x:f>IF(A297="","",IFERROR(VLOOKUP(J297,MGMT_RULE!$A:$G,7,FALSE),IFERROR(VLOOKUP(H297,RULE_MAIN!$A:$F,6,FALSE),IFERROR(VLOOKUP(I297,RULE_MAIN!$A:$F,6,FALSE),"관리자 확인"))))</x:f>
      </x:c>
      <x:c r="L297" s="5" t="str">
        <x:f>IF(A297="","",IF(K297="관리자 확인","DNC 차단",IF(ISNUMBER(SEARCH("후보",K297)),"관리자 확인",IFERROR(IF(MATCH(K297,PG_LIST!$A:$A,0)&gt;0,"DNC 가능","Program 파일 없음"),"Program 파일 없음"))))</x:f>
      </x:c>
      <x:c r="M297" s="6" t="str">
        <x:f>IF(A297="","",IF(COUNTIF(MGMT_RULE!$A:$A,J297)&gt;0,"관리번호 전용 RULE",IF(COUNTIF(RULE_MAIN!$A:$A,H297)&gt;0,"정확 RULE",IF(COUNTIF(RULE_MAIN!$A:$A,I297)&gt;0,"ANY RULE","확정 RULE 필요"))))</x:f>
      </x:c>
      <x:c r="N297" s="6" t="str">
        <x:f t="shared" si="38"/>
      </x:c>
      <x:c r="O297" s="6" t="str">
        <x:f t="shared" si="39"/>
      </x:c>
    </x:row>
    <x:row r="298">
      <x:c r="A298" s="2"/>
      <x:c r="B298" s="2"/>
      <x:c r="C298" s="2"/>
      <x:c r="D298" s="2"/>
      <x:c r="E298" s="3" t="str">
        <x:f t="shared" si="32"/>
      </x:c>
      <x:c r="F298" s="3" t="str">
        <x:f t="shared" si="33"/>
      </x:c>
      <x:c r="G298" s="3" t="str">
        <x:f t="shared" si="34"/>
        <x:v>OMS2 확인</x:v>
      </x:c>
      <x:c r="H298" s="3" t="str">
        <x:f t="shared" si="35"/>
      </x:c>
      <x:c r="I298" s="3" t="str">
        <x:f t="shared" si="36"/>
      </x:c>
      <x:c r="J298" s="3" t="str">
        <x:f t="shared" si="37"/>
      </x:c>
      <x:c r="K298" s="4" t="str">
        <x:f>IF(A298="","",IFERROR(VLOOKUP(J298,MGMT_RULE!$A:$G,7,FALSE),IFERROR(VLOOKUP(H298,RULE_MAIN!$A:$F,6,FALSE),IFERROR(VLOOKUP(I298,RULE_MAIN!$A:$F,6,FALSE),"관리자 확인"))))</x:f>
      </x:c>
      <x:c r="L298" s="5" t="str">
        <x:f>IF(A298="","",IF(K298="관리자 확인","DNC 차단",IF(ISNUMBER(SEARCH("후보",K298)),"관리자 확인",IFERROR(IF(MATCH(K298,PG_LIST!$A:$A,0)&gt;0,"DNC 가능","Program 파일 없음"),"Program 파일 없음"))))</x:f>
      </x:c>
      <x:c r="M298" s="6" t="str">
        <x:f>IF(A298="","",IF(COUNTIF(MGMT_RULE!$A:$A,J298)&gt;0,"관리번호 전용 RULE",IF(COUNTIF(RULE_MAIN!$A:$A,H298)&gt;0,"정확 RULE",IF(COUNTIF(RULE_MAIN!$A:$A,I298)&gt;0,"ANY RULE","확정 RULE 필요"))))</x:f>
      </x:c>
      <x:c r="N298" s="6" t="str">
        <x:f t="shared" si="38"/>
      </x:c>
      <x:c r="O298" s="6" t="str">
        <x:f t="shared" si="39"/>
      </x:c>
    </x:row>
    <x:row r="299">
      <x:c r="A299" s="2"/>
      <x:c r="B299" s="2"/>
      <x:c r="C299" s="2"/>
      <x:c r="D299" s="2"/>
      <x:c r="E299" s="3" t="str">
        <x:f t="shared" si="32"/>
      </x:c>
      <x:c r="F299" s="3" t="str">
        <x:f t="shared" si="33"/>
      </x:c>
      <x:c r="G299" s="3" t="str">
        <x:f t="shared" si="34"/>
        <x:v>OMS2 확인</x:v>
      </x:c>
      <x:c r="H299" s="3" t="str">
        <x:f t="shared" si="35"/>
      </x:c>
      <x:c r="I299" s="3" t="str">
        <x:f t="shared" si="36"/>
      </x:c>
      <x:c r="J299" s="3" t="str">
        <x:f t="shared" si="37"/>
      </x:c>
      <x:c r="K299" s="4" t="str">
        <x:f>IF(A299="","",IFERROR(VLOOKUP(J299,MGMT_RULE!$A:$G,7,FALSE),IFERROR(VLOOKUP(H299,RULE_MAIN!$A:$F,6,FALSE),IFERROR(VLOOKUP(I299,RULE_MAIN!$A:$F,6,FALSE),"관리자 확인"))))</x:f>
      </x:c>
      <x:c r="L299" s="5" t="str">
        <x:f>IF(A299="","",IF(K299="관리자 확인","DNC 차단",IF(ISNUMBER(SEARCH("후보",K299)),"관리자 확인",IFERROR(IF(MATCH(K299,PG_LIST!$A:$A,0)&gt;0,"DNC 가능","Program 파일 없음"),"Program 파일 없음"))))</x:f>
      </x:c>
      <x:c r="M299" s="6" t="str">
        <x:f>IF(A299="","",IF(COUNTIF(MGMT_RULE!$A:$A,J299)&gt;0,"관리번호 전용 RULE",IF(COUNTIF(RULE_MAIN!$A:$A,H299)&gt;0,"정확 RULE",IF(COUNTIF(RULE_MAIN!$A:$A,I299)&gt;0,"ANY RULE","확정 RULE 필요"))))</x:f>
      </x:c>
      <x:c r="N299" s="6" t="str">
        <x:f t="shared" si="38"/>
      </x:c>
      <x:c r="O299" s="6" t="str">
        <x:f t="shared" si="39"/>
      </x:c>
    </x:row>
    <x:row r="300">
      <x:c r="A300" s="2"/>
      <x:c r="B300" s="2"/>
      <x:c r="C300" s="2"/>
      <x:c r="D300" s="2"/>
      <x:c r="E300" s="3" t="str">
        <x:f t="shared" si="32"/>
      </x:c>
      <x:c r="F300" s="3" t="str">
        <x:f t="shared" si="33"/>
      </x:c>
      <x:c r="G300" s="3" t="str">
        <x:f t="shared" si="34"/>
        <x:v>OMS2 확인</x:v>
      </x:c>
      <x:c r="H300" s="3" t="str">
        <x:f t="shared" si="35"/>
      </x:c>
      <x:c r="I300" s="3" t="str">
        <x:f t="shared" si="36"/>
      </x:c>
      <x:c r="J300" s="3" t="str">
        <x:f t="shared" si="37"/>
      </x:c>
      <x:c r="K300" s="4" t="str">
        <x:f>IF(A300="","",IFERROR(VLOOKUP(J300,MGMT_RULE!$A:$G,7,FALSE),IFERROR(VLOOKUP(H300,RULE_MAIN!$A:$F,6,FALSE),IFERROR(VLOOKUP(I300,RULE_MAIN!$A:$F,6,FALSE),"관리자 확인"))))</x:f>
      </x:c>
      <x:c r="L300" s="5" t="str">
        <x:f>IF(A300="","",IF(K300="관리자 확인","DNC 차단",IF(ISNUMBER(SEARCH("후보",K300)),"관리자 확인",IFERROR(IF(MATCH(K300,PG_LIST!$A:$A,0)&gt;0,"DNC 가능","Program 파일 없음"),"Program 파일 없음"))))</x:f>
      </x:c>
      <x:c r="M300" s="6" t="str">
        <x:f>IF(A300="","",IF(COUNTIF(MGMT_RULE!$A:$A,J300)&gt;0,"관리번호 전용 RULE",IF(COUNTIF(RULE_MAIN!$A:$A,H300)&gt;0,"정확 RULE",IF(COUNTIF(RULE_MAIN!$A:$A,I300)&gt;0,"ANY RULE","확정 RULE 필요"))))</x:f>
      </x:c>
      <x:c r="N300" s="6" t="str">
        <x:f t="shared" si="38"/>
      </x:c>
      <x:c r="O300" s="6" t="str">
        <x:f t="shared" si="39"/>
      </x:c>
    </x:row>
  </x:sheetData>
  <x:mergeCells>
    <x:mergeCell ref="A1:O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6" customWidth="1"/>
    <x:col min="2" max="2" width="10" customWidth="1"/>
    <x:col min="3" max="3" width="8" customWidth="1"/>
    <x:col min="4" max="5" width="14" customWidth="1"/>
    <x:col min="6" max="6" width="78" customWidth="1"/>
    <x:col min="7" max="7" width="42" customWidth="1"/>
    <x:col min="8" max="8" width="15" hidden="0" customWidth="1"/>
  </x:cols>
  <x:sheetData>
    <x:row r="1" ht="15">
      <x:c r="A1" s="1" t="s">
        <x:v>8</x:v>
      </x:c>
      <x:c r="B1" s="1" t="s">
        <x:v>5</x:v>
      </x:c>
      <x:c r="C1" s="1" t="s">
        <x:v>2</x:v>
      </x:c>
      <x:c r="D1" s="1" t="s">
        <x:v>6</x:v>
      </x:c>
      <x:c r="E1" s="1" t="s">
        <x:v>7</x:v>
      </x:c>
      <x:c r="F1" s="1" t="s">
        <x:v>71</x:v>
      </x:c>
      <x:c r="G1" s="1" t="s">
        <x:v>14</x:v>
      </x:c>
      <x:c r="H1" s="16" t="str">
        <x:v>상태</x:v>
      </x:c>
    </x:row>
    <x:row r="2">
      <x:c r="A2" t="s">
        <x:v>72</x:v>
      </x:c>
      <x:c r="B2" t="s">
        <x:v>73</x:v>
      </x:c>
      <x:c r="C2">
        <x:v>1</x:v>
      </x:c>
      <x:c r="D2" t="s">
        <x:v>74</x:v>
      </x:c>
      <x:c r="E2" t="s">
        <x:v>75</x:v>
      </x:c>
      <x:c r="F2" t="s">
        <x:v>76</x:v>
      </x:c>
      <x:c r="G2" t="s">
        <x:v>77</x:v>
      </x:c>
      <x:c r="H2" t="str">
        <x:v>CONFIRMED</x:v>
      </x:c>
    </x:row>
    <x:row r="3">
      <x:c r="A3" t="s">
        <x:v>78</x:v>
      </x:c>
      <x:c r="B3" t="s">
        <x:v>73</x:v>
      </x:c>
      <x:c r="C3">
        <x:v>2</x:v>
      </x:c>
      <x:c r="D3" t="s">
        <x:v>74</x:v>
      </x:c>
      <x:c r="E3" t="s">
        <x:v>75</x:v>
      </x:c>
      <x:c r="F3" t="s">
        <x:v>79</x:v>
      </x:c>
      <x:c r="G3" t="s">
        <x:v>80</x:v>
      </x:c>
      <x:c r="H3" t="str">
        <x:v>CONFIRMED</x:v>
      </x:c>
    </x:row>
    <x:row r="4">
      <x:c r="A4" t="s">
        <x:v>81</x:v>
      </x:c>
      <x:c r="B4" t="s">
        <x:v>73</x:v>
      </x:c>
      <x:c r="C4">
        <x:v>2</x:v>
      </x:c>
      <x:c r="D4" t="s">
        <x:v>82</x:v>
      </x:c>
      <x:c r="E4" t="s">
        <x:v>75</x:v>
      </x:c>
      <x:c r="F4" t="s">
        <x:v>83</x:v>
      </x:c>
      <x:c r="G4" t="s">
        <x:v>84</x:v>
      </x:c>
      <x:c r="H4" t="str">
        <x:v>INACTIVE</x:v>
      </x:c>
    </x:row>
    <x:row r="5">
      <x:c r="A5" t="s">
        <x:v>85</x:v>
      </x:c>
      <x:c r="B5" t="s">
        <x:v>73</x:v>
      </x:c>
      <x:c r="C5">
        <x:v>3</x:v>
      </x:c>
      <x:c r="D5" t="s">
        <x:v>74</x:v>
      </x:c>
      <x:c r="E5" t="s">
        <x:v>75</x:v>
      </x:c>
      <x:c r="F5" t="s">
        <x:v>76</x:v>
      </x:c>
      <x:c r="G5" t="s">
        <x:v>86</x:v>
      </x:c>
      <x:c r="H5" t="str">
        <x:v>CONFIRMED</x:v>
      </x:c>
    </x:row>
    <x:row r="6">
      <x:c r="A6" t="s">
        <x:v>87</x:v>
      </x:c>
      <x:c r="B6" t="s">
        <x:v>88</x:v>
      </x:c>
      <x:c r="C6">
        <x:v>1</x:v>
      </x:c>
      <x:c r="D6" t="s">
        <x:v>74</x:v>
      </x:c>
      <x:c r="E6" t="s">
        <x:v>75</x:v>
      </x:c>
      <x:c r="F6" t="s">
        <x:v>76</x:v>
      </x:c>
      <x:c r="G6" t="s">
        <x:v>89</x:v>
      </x:c>
      <x:c r="H6" t="str">
        <x:v>CONFIRMED</x:v>
      </x:c>
    </x:row>
    <x:row r="7">
      <x:c r="A7" t="s">
        <x:v>90</x:v>
      </x:c>
      <x:c r="B7" t="s">
        <x:v>91</x:v>
      </x:c>
      <x:c r="C7">
        <x:v>1</x:v>
      </x:c>
      <x:c r="D7" t="s">
        <x:v>74</x:v>
      </x:c>
      <x:c r="E7" t="s">
        <x:v>75</x:v>
      </x:c>
      <x:c r="F7" t="s">
        <x:v>76</x:v>
      </x:c>
      <x:c r="G7" t="s">
        <x:v>92</x:v>
      </x:c>
      <x:c r="H7" t="str">
        <x:v>CONFIRMED</x:v>
      </x:c>
    </x:row>
    <x:row r="8">
      <x:c r="A8" t="s">
        <x:v>93</x:v>
      </x:c>
      <x:c r="B8" t="s">
        <x:v>94</x:v>
      </x:c>
      <x:c r="C8">
        <x:v>1</x:v>
      </x:c>
      <x:c r="D8" t="s">
        <x:v>74</x:v>
      </x:c>
      <x:c r="E8" t="s">
        <x:v>75</x:v>
      </x:c>
      <x:c r="F8" t="s">
        <x:v>76</x:v>
      </x:c>
      <x:c r="G8" t="s">
        <x:v>95</x:v>
      </x:c>
      <x:c r="H8" t="str">
        <x:v>CONFIRMED</x:v>
      </x:c>
    </x:row>
    <x:row r="9">
      <x:c r="A9" t="s">
        <x:v>96</x:v>
      </x:c>
      <x:c r="B9" t="s">
        <x:v>94</x:v>
      </x:c>
      <x:c r="C9">
        <x:v>1</x:v>
      </x:c>
      <x:c r="D9" t="s">
        <x:v>97</x:v>
      </x:c>
      <x:c r="E9" t="s">
        <x:v>75</x:v>
      </x:c>
      <x:c r="F9" t="s">
        <x:v>98</x:v>
      </x:c>
      <x:c r="G9" t="s">
        <x:v>99</x:v>
      </x:c>
      <x:c r="H9" t="str">
        <x:v>CONFIRMED</x:v>
      </x:c>
    </x:row>
    <x:row r="10">
      <x:c r="A10" t="s">
        <x:v>100</x:v>
      </x:c>
      <x:c r="B10" t="s">
        <x:v>94</x:v>
      </x:c>
      <x:c r="C10">
        <x:v>2</x:v>
      </x:c>
      <x:c r="D10" t="s">
        <x:v>97</x:v>
      </x:c>
      <x:c r="E10" t="s">
        <x:v>75</x:v>
      </x:c>
      <x:c r="F10" t="s">
        <x:v>98</x:v>
      </x:c>
      <x:c r="G10" t="s">
        <x:v>101</x:v>
      </x:c>
      <x:c r="H10" t="str">
        <x:v>CONFIRMED</x:v>
      </x:c>
    </x:row>
    <x:row r="11">
      <x:c r="A11" t="s">
        <x:v>102</x:v>
      </x:c>
      <x:c r="B11" t="s">
        <x:v>94</x:v>
      </x:c>
      <x:c r="C11">
        <x:v>2</x:v>
      </x:c>
      <x:c r="D11" t="s">
        <x:v>103</x:v>
      </x:c>
      <x:c r="E11" t="s">
        <x:v>75</x:v>
      </x:c>
      <x:c r="F11" t="s">
        <x:v>104</x:v>
      </x:c>
      <x:c r="G11" t="s">
        <x:v>105</x:v>
      </x:c>
      <x:c r="H11" t="str">
        <x:v>CONFIRMED</x:v>
      </x:c>
    </x:row>
    <x:row r="12">
      <x:c r="A12" t="s">
        <x:v>106</x:v>
      </x:c>
      <x:c r="B12" t="s">
        <x:v>94</x:v>
      </x:c>
      <x:c r="C12">
        <x:v>2</x:v>
      </x:c>
      <x:c r="D12" t="s">
        <x:v>74</x:v>
      </x:c>
      <x:c r="E12" t="s">
        <x:v>75</x:v>
      </x:c>
      <x:c r="F12" t="s">
        <x:v>107</x:v>
      </x:c>
      <x:c r="G12" t="s">
        <x:v>108</x:v>
      </x:c>
      <x:c r="H12" t="str">
        <x:v>REVIEW</x:v>
      </x:c>
    </x:row>
    <x:row r="13">
      <x:c r="A13" t="str">
        <x:v>EMC|2|411-512|CENTER</x:v>
      </x:c>
      <x:c r="B13" t="str">
        <x:v>EMC</x:v>
      </x:c>
      <x:c r="C13" t="n">
        <x:v>2</x:v>
      </x:c>
      <x:c r="D13" t="str">
        <x:v>411-512</x:v>
      </x:c>
      <x:c r="E13" t="str">
        <x:v>CENTER</x:v>
      </x:c>
      <x:c r="F13" t="str">
        <x:v>ST-3Layer-500+4Hole(411-512)_2R_2_2024 T01 T02 test</x:v>
      </x:c>
      <x:c r="G13" t="str">
        <x:v>서로 다른 관리번호 2개 / 5건 전부 동일</x:v>
      </x:c>
      <x:c r="H13" t="str">
        <x:v>CONFIRMED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42" customWidth="1"/>
    <x:col min="2" max="2" width="24" customWidth="1"/>
    <x:col min="3" max="3" width="8" customWidth="1"/>
    <x:col min="4" max="4" width="14" customWidth="1"/>
    <x:col min="5" max="6" width="16" customWidth="1"/>
    <x:col min="7" max="7" width="78" customWidth="1"/>
    <x:col min="8" max="8" width="15" hidden="0" customWidth="1"/>
  </x:cols>
  <x:sheetData>
    <x:row r="1" ht="15">
      <x:c r="A1" s="1" t="s">
        <x:v>10</x:v>
      </x:c>
      <x:c r="B1" s="1" t="s">
        <x:v>1</x:v>
      </x:c>
      <x:c r="C1" s="1" t="s">
        <x:v>2</x:v>
      </x:c>
      <x:c r="D1" s="1" t="s">
        <x:v>6</x:v>
      </x:c>
      <x:c r="E1" s="1" t="s">
        <x:v>7</x:v>
      </x:c>
      <x:c r="F1" s="1" t="s">
        <x:v>14</x:v>
      </x:c>
      <x:c r="G1" s="1" t="s">
        <x:v>71</x:v>
      </x:c>
      <x:c r="H1" s="16" t="str">
        <x:v>상태</x:v>
      </x:c>
    </x:row>
    <x:row r="2">
      <x:c r="A2" t="s">
        <x:v>109</x:v>
      </x:c>
      <x:c r="B2" t="s">
        <x:v>25</x:v>
      </x:c>
      <x:c r="C2">
        <x:v>2</x:v>
      </x:c>
      <x:c r="D2" t="s">
        <x:v>74</x:v>
      </x:c>
      <x:c r="E2" t="s">
        <x:v>110</x:v>
      </x:c>
      <x:c r="F2" t="s">
        <x:v>111</x:v>
      </x:c>
      <x:c r="G2" t="s">
        <x:v>112</x:v>
      </x:c>
      <x:c r="H2" t="str">
        <x:v>CONFIRMED</x:v>
      </x:c>
    </x:row>
    <x:row r="3">
      <x:c r="A3" t="s">
        <x:v>113</x:v>
      </x:c>
      <x:c r="B3" t="s">
        <x:v>27</x:v>
      </x:c>
      <x:c r="C3">
        <x:v>2</x:v>
      </x:c>
      <x:c r="D3" t="s">
        <x:v>74</x:v>
      </x:c>
      <x:c r="E3" t="s">
        <x:v>114</x:v>
      </x:c>
      <x:c r="F3" t="s">
        <x:v>111</x:v>
      </x:c>
      <x:c r="G3" t="s">
        <x:v>76</x:v>
      </x:c>
      <x:c r="H3" t="str">
        <x:v>CONFIRMED</x:v>
      </x:c>
    </x:row>
    <x:row r="4">
      <x:c r="A4" t="s">
        <x:v>115</x:v>
      </x:c>
      <x:c r="B4" t="s">
        <x:v>28</x:v>
      </x:c>
      <x:c r="C4">
        <x:v>2</x:v>
      </x:c>
      <x:c r="D4" t="s">
        <x:v>74</x:v>
      </x:c>
      <x:c r="E4" t="s">
        <x:v>114</x:v>
      </x:c>
      <x:c r="F4" t="s">
        <x:v>111</x:v>
      </x:c>
      <x:c r="G4" t="s">
        <x:v>76</x:v>
      </x:c>
      <x:c r="H4" t="str">
        <x:v>CONFIRMED</x:v>
      </x:c>
    </x:row>
    <x:row r="5">
      <x:c r="A5" t="s">
        <x:v>116</x:v>
      </x:c>
      <x:c r="B5" t="s">
        <x:v>117</x:v>
      </x:c>
      <x:c r="C5">
        <x:v>2</x:v>
      </x:c>
      <x:c r="D5" t="s">
        <x:v>74</x:v>
      </x:c>
      <x:c r="E5" t="s">
        <x:v>114</x:v>
      </x:c>
      <x:c r="F5" t="s">
        <x:v>111</x:v>
      </x:c>
      <x:c r="G5" t="s">
        <x:v>112</x:v>
      </x:c>
      <x:c r="H5" t="str">
        <x:v>CONFIRMED</x:v>
      </x:c>
    </x:row>
    <x:row r="6">
      <x:c r="A6" t="s">
        <x:v>118</x:v>
      </x:c>
      <x:c r="B6" t="s">
        <x:v>119</x:v>
      </x:c>
      <x:c r="C6">
        <x:v>2</x:v>
      </x:c>
      <x:c r="D6" t="s">
        <x:v>74</x:v>
      </x:c>
      <x:c r="E6" t="s">
        <x:v>114</x:v>
      </x:c>
      <x:c r="F6" t="s">
        <x:v>111</x:v>
      </x:c>
      <x:c r="G6" t="s">
        <x:v>112</x:v>
      </x:c>
      <x:c r="H6" t="str">
        <x:v>CONFIRMED</x:v>
      </x:c>
    </x:row>
    <x:row r="7">
      <x:c r="A7" t="s">
        <x:v>120</x:v>
      </x:c>
      <x:c r="B7" t="s">
        <x:v>121</x:v>
      </x:c>
      <x:c r="C7">
        <x:v>2</x:v>
      </x:c>
      <x:c r="D7" t="s">
        <x:v>74</x:v>
      </x:c>
      <x:c r="E7" t="s">
        <x:v>114</x:v>
      </x:c>
      <x:c r="F7" t="s">
        <x:v>111</x:v>
      </x:c>
      <x:c r="G7" t="s">
        <x:v>112</x:v>
      </x:c>
      <x:c r="H7" t="str">
        <x:v>CONFIRMED</x:v>
      </x:c>
    </x:row>
    <x:row r="8">
      <x:c r="A8" t="s">
        <x:v>122</x:v>
      </x:c>
      <x:c r="B8" t="s">
        <x:v>123</x:v>
      </x:c>
      <x:c r="C8">
        <x:v>4</x:v>
      </x:c>
      <x:c r="D8" t="s">
        <x:v>74</x:v>
      </x:c>
      <x:c r="E8" t="s">
        <x:v>114</x:v>
      </x:c>
      <x:c r="F8" t="s">
        <x:v>124</x:v>
      </x:c>
      <x:c r="G8" t="s">
        <x:v>79</x:v>
      </x:c>
      <x:c r="H8" t="str">
        <x:v>CONFIRMED</x:v>
      </x:c>
    </x:row>
    <x:row r="9">
      <x:c r="A9" t="str">
        <x:v>MCP21815C00-013|2|415-515|방향홀</x:v>
      </x:c>
      <x:c r="B9" t="str">
        <x:v>MCP21815C00-013</x:v>
      </x:c>
      <x:c r="C9" t="n">
        <x:v>2</x:v>
      </x:c>
      <x:c r="D9" t="str">
        <x:v>415-515</x:v>
      </x:c>
      <x:c r="E9" t="str">
        <x:v>방향홀</x:v>
      </x:c>
      <x:c r="F9" t="str">
        <x:v>28건 / 28건 동일</x:v>
      </x:c>
      <x:c r="G9" t="str">
        <x:v>ST-03L-500(415-515)2R</x:v>
      </x:c>
      <x:c r="H9" t="str">
        <x:v>CONFIRMED</x:v>
      </x:c>
    </x:row>
    <x:row r="10">
      <x:c r="A10" t="str">
        <x:v>FLC13574B00-000|2|411-512|후가공(1차)</x:v>
      </x:c>
      <x:c r="B10" t="str">
        <x:v>FLC13574B00-000</x:v>
      </x:c>
      <x:c r="C10" t="n">
        <x:v>2</x:v>
      </x:c>
      <x:c r="D10" t="str">
        <x:v>411-512</x:v>
      </x:c>
      <x:c r="E10" t="str">
        <x:v>후가공(1차)</x:v>
      </x:c>
      <x:c r="F10" t="str">
        <x:v>8건 / 8건 동일</x:v>
      </x:c>
      <x:c r="G10" t="str">
        <x:v>ST-BOC-500(411-512)2R</x:v>
      </x:c>
      <x:c r="H10" t="str">
        <x:v>CONFIRMED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90" customWidth="1"/>
    <x:col min="2" max="2" width="14" customWidth="1"/>
  </x:cols>
  <x:sheetData>
    <x:row r="1" ht="15">
      <x:c r="A1" s="1" t="s">
        <x:v>125</x:v>
      </x:c>
      <x:c r="B1" s="1" t="s">
        <x:v>126</x:v>
      </x:c>
    </x:row>
    <x:row r="2">
      <x:c r="A2" t="s">
        <x:v>76</x:v>
      </x:c>
      <x:c r="B2" t="s">
        <x:v>127</x:v>
      </x:c>
    </x:row>
    <x:row r="3">
      <x:c r="A3" t="s">
        <x:v>79</x:v>
      </x:c>
      <x:c r="B3" t="s">
        <x:v>127</x:v>
      </x:c>
    </x:row>
    <x:row r="4">
      <x:c r="A4" t="str">
        <x:v>ST-03L-500(415-515)2R</x:v>
      </x:c>
      <x:c r="B4" t="str">
        <x:v>등록</x:v>
      </x:c>
    </x:row>
    <x:row r="5">
      <x:c r="A5" t="s">
        <x:v>98</x:v>
      </x:c>
      <x:c r="B5" t="s">
        <x:v>127</x:v>
      </x:c>
    </x:row>
    <x:row r="6">
      <x:c r="A6" t="s">
        <x:v>112</x:v>
      </x:c>
      <x:c r="B6" t="s">
        <x:v>127</x:v>
      </x:c>
    </x:row>
    <x:row r="7">
      <x:c r="A7" t="s">
        <x:v>104</x:v>
      </x:c>
      <x:c r="B7" t="s">
        <x:v>127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120" customWidth="1"/>
  </x:cols>
  <x:sheetData>
    <x:row r="1" ht="18">
      <x:c r="A1" s="7" t="s">
        <x:v>128</x:v>
      </x:c>
    </x:row>
    <x:row r="3">
      <x:c r="A3" t="s">
        <x:v>129</x:v>
      </x:c>
    </x:row>
    <x:row r="4">
      <x:c r="A4" t="s">
        <x:v>130</x:v>
      </x:c>
    </x:row>
    <x:row r="5">
      <x:c r="A5" t="s">
        <x:v>131</x:v>
      </x:c>
    </x:row>
    <x:row r="6">
      <x:c r="A6" t="s">
        <x:v>132</x:v>
      </x:c>
    </x:row>
    <x:row r="7">
      <x:c r="A7" t="s">
        <x:v>133</x:v>
      </x:c>
    </x:row>
    <x:row r="8">
      <x:c r="A8" t="s">
        <x:v>134</x:v>
      </x:c>
    </x:row>
    <x:row r="9">
      <x:c r="A9" t="s">
        <x:v>135</x:v>
      </x:c>
    </x:row>
    <x:row r="10">
      <x:c r="A10" t="str">
        <x:v>초기 구축 원칙: 과거 작업일보의 다른 P/G 1건은 오입력 가능성으로 PASS하며 Rule을 만들지 않는다.</x:v>
      </x:c>
    </x:row>
    <x:row r="11">
      <x:c r="A11" t="str">
        <x:v>운영 원칙: V5 Rule 구축 이후 다른 P/G가 1건이라도 생기면 조건 변경 신호로 차단하고 재검증한다.</x:v>
      </x:c>
    </x:row>
  </x:sheetData>
  <x:pageMargins left="0.7" right="0.7" top="0.75" bottom="0.75" header="0.3" footer="0.3"/>
</x:worksheet>
</file>