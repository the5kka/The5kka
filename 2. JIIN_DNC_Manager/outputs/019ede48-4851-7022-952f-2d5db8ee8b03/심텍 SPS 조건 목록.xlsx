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61af06be9c41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전체 조건 목록" sheetId="1" r:id="R9b5327f74d564579"/>
    <x:sheet xmlns:r="http://schemas.openxmlformats.org/officeDocument/2006/relationships" name="사이즈별 요약" sheetId="2" r:id="Rcf4fc71330e24475"/>
    <x:sheet xmlns:r="http://schemas.openxmlformats.org/officeDocument/2006/relationships" name="별칭 연결" sheetId="3" r:id="R38452c124463409c"/>
    <x:sheet xmlns:r="http://schemas.openxmlformats.org/officeDocument/2006/relationships" name="상태 설명" sheetId="4" r:id="R80f8d542557549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&quot;회&quot;"/>
    <x:numFmt numFmtId="201" formatCode="yyyy-mm-dd"/>
    <x:numFmt numFmtId="202" formatCode="#,##0&quot;개&quot;"/>
  </x:numFmts>
  <x:fonts count="9">
    <x:font>
      <x:sz val="11"/>
      <x:name val="Carlito"/>
    </x:font>
    <x:font>
      <x:b/>
      <x:sz val="16"/>
      <x:color rgb="FF0B5CDE"/>
      <x:name val="Carlito"/>
    </x:font>
    <x:font>
      <x:sz val="9"/>
      <x:color rgb="FF5B6573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9"/>
      <x:color rgb="FF9C5700"/>
      <x:name val="Carlito"/>
    </x:font>
    <x:font>
      <x:b/>
      <x:sz val="9"/>
      <x:color rgb="FF00875A"/>
      <x:name val="Carlito"/>
    </x:font>
    <x:font>
      <x:b/>
      <x:sz val="9"/>
      <x:color rgb="FF44546A"/>
      <x:name val="Carlito"/>
    </x:font>
    <x:font>
      <x:b/>
      <x:sz val="9"/>
      <x:color rgb="FFC00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EAF2FF"/>
      </x:patternFill>
    </x:fill>
    <x:fill>
      <x:patternFill patternType="solid">
        <x:fgColor rgb="FFF4F8FF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</x:fills>
  <x:borders count="6">
    <x:border/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2" xfId="0" applyNumberFormat="1" applyFont="1" applyFill="1" applyBorder="1" applyAlignment="1">
      <x:alignment horizontal="left"/>
    </x:xf>
    <x:xf numFmtId="0" fontId="1" fillId="2" borderId="3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1" fillId="2" borderId="2" xfId="0" applyNumberFormat="1" applyFont="1" applyFill="1" applyBorder="1" applyAlignment="1">
      <x:alignment horizontal="left" vertical="center"/>
    </x:xf>
    <x:xf numFmtId="0" fontId="1" fillId="2" borderId="3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2" xfId="0" applyNumberFormat="1" applyFont="1" applyFill="1" applyBorder="1" applyAlignment="1">
      <x:alignment horizontal="left"/>
    </x:xf>
    <x:xf numFmtId="0" fontId="2" fillId="3" borderId="3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2" fillId="3" borderId="2" xfId="0" applyNumberFormat="1" applyFont="1" applyFill="1" applyBorder="1" applyAlignment="1">
      <x:alignment horizontal="left" vertical="center"/>
    </x:xf>
    <x:xf numFmtId="0" fontId="2" fillId="3" borderId="3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5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horizontal="center" vertical="center"/>
    </x:xf>
    <x:xf numFmtId="200" fontId="4" fillId="0" borderId="5" xfId="0" applyNumberFormat="1" applyFont="1" applyFill="1" applyBorder="1" applyAlignment="1">
      <x:alignment horizontal="center" vertical="center"/>
    </x:xf>
    <x:xf numFmtId="201" fontId="4" fillId="0" borderId="5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horizontal="center" vertical="center"/>
    </x:xf>
    <x:xf numFmtId="0" fontId="5" fillId="5" borderId="5" xfId="0" applyNumberFormat="1" applyFont="1" applyFill="1" applyBorder="1" applyAlignment="1">
      <x:alignment horizontal="center" vertical="center"/>
    </x:xf>
    <x:xf numFmtId="0" fontId="4" fillId="6" borderId="5" xfId="0" applyNumberFormat="1" applyFont="1" applyFill="1" applyBorder="1" applyAlignment="1">
      <x:alignment horizontal="center" vertical="center"/>
    </x:xf>
    <x:xf numFmtId="0" fontId="6" fillId="6" borderId="5" xfId="0" applyNumberFormat="1" applyFont="1" applyFill="1" applyBorder="1" applyAlignment="1">
      <x:alignment horizontal="center" vertical="center"/>
    </x:xf>
    <x:xf numFmtId="0" fontId="4" fillId="7" borderId="5" xfId="0" applyNumberFormat="1" applyFont="1" applyFill="1" applyBorder="1" applyAlignment="1">
      <x:alignment horizontal="center" vertical="center"/>
    </x:xf>
    <x:xf numFmtId="0" fontId="7" fillId="7" borderId="5" xfId="0" applyNumberFormat="1" applyFont="1" applyFill="1" applyBorder="1" applyAlignment="1">
      <x:alignment horizontal="center" vertical="center"/>
    </x:xf>
    <x:xf numFmtId="0" fontId="4" fillId="8" borderId="5" xfId="0" applyNumberFormat="1" applyFont="1" applyFill="1" applyBorder="1" applyAlignment="1">
      <x:alignment horizontal="center" vertical="center"/>
    </x:xf>
    <x:xf numFmtId="0" fontId="8" fillId="8" borderId="5" xfId="0" applyNumberFormat="1" applyFont="1" applyFill="1" applyBorder="1" applyAlignment="1">
      <x:alignment horizontal="center" vertical="center"/>
    </x:xf>
    <x:xf numFmtId="202" fontId="4" fillId="0" borderId="5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ea47f9af62466a" /><Relationship Type="http://schemas.openxmlformats.org/officeDocument/2006/relationships/theme" Target="/xl/theme/theme1.xml" Id="R879d61ff12c74a1d" /><Relationship Type="http://schemas.openxmlformats.org/officeDocument/2006/relationships/sharedStrings" Target="/xl/sharedStrings.xml" Id="R4ab344f14bfa47a8" /><Relationship Type="http://schemas.openxmlformats.org/officeDocument/2006/relationships/worksheet" Target="/xl/worksheets/sheet1.xml" Id="R9b5327f74d564579" /><Relationship Type="http://schemas.openxmlformats.org/officeDocument/2006/relationships/worksheet" Target="/xl/worksheets/sheet2.xml" Id="Rcf4fc71330e24475" /><Relationship Type="http://schemas.openxmlformats.org/officeDocument/2006/relationships/worksheet" Target="/xl/worksheets/sheet3.xml" Id="R38452c124463409c" /><Relationship Type="http://schemas.openxmlformats.org/officeDocument/2006/relationships/worksheet" Target="/xl/worksheets/sheet4.xml" Id="R80f8d542557549ca" /></Relationships>
</file>

<file path=xl/tables/table1.xml><?xml version="1.0" encoding="utf-8"?>
<x:table xmlns:x="http://schemas.openxmlformats.org/spreadsheetml/2006/main" id="1" name="SpsConditionCatalog" displayName="SpsConditionCatalog" ref="A4:I39" headerRowCount="1" totalsRowCount="0" totalsRowShown="0">
  <x:autoFilter ref="A4:I39"/>
  <x:tableColumns count="9">
    <x:tableColumn id="1" name="번호"/>
    <x:tableColumn id="2" name="상태"/>
    <x:tableColumn id="3" name="Trim P/G"/>
    <x:tableColumn id="4" name="사이즈"/>
    <x:tableColumn id="5" name="SHIFT"/>
    <x:tableColumn id="6" name="사용 횟수"/>
    <x:tableColumn id="7" name="최근 사용일"/>
    <x:tableColumn id="8" name="실제 파일 확인"/>
    <x:tableColumn id="9" name="비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psSizeSummary" displayName="SpsSizeSummary" ref="A4:G14" headerRowCount="1" totalsRowCount="0" totalsRowShown="0">
  <x:tableColumns count="7">
    <x:tableColumn id="1" name="사이즈"/>
    <x:tableColumn id="2" name="전체"/>
    <x:tableColumn id="3" name="사용 가능"/>
    <x:tableColumn id="4" name="관리자 확인"/>
    <x:tableColumn id="5" name="중복 사용중지"/>
    <x:tableColumn id="6" name="적용 불가"/>
    <x:tableColumn id="7" name="SHIFT 조건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psAliasMap" displayName="SpsAliasMap" ref="A4:F11" headerRowCount="1" totalsRowCount="0" totalsRowShown="0">
  <x:tableColumns count="6">
    <x:tableColumn id="1" name="번호"/>
    <x:tableColumn id="2" name="과거·중복 명칭"/>
    <x:tableColumn id="3" name="대표 Trim P/G"/>
    <x:tableColumn id="4" name="대표 사이즈"/>
    <x:tableColumn id="5" name="대표 상태"/>
    <x:tableColumn id="6" name="연결 사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0e8c53050647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79f1ac684f147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7301ec0ced942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0000114440918" hidden="0" customWidth="1"/>
    <x:col min="2" max="2" width="15" hidden="0" customWidth="1"/>
    <x:col min="3" max="3" width="53.75" hidden="0" customWidth="1"/>
    <x:col min="4" max="4" width="11.25" hidden="0" customWidth="1"/>
    <x:col min="5" max="5" width="9.380000114440918" hidden="0" customWidth="1"/>
    <x:col min="6" max="6" width="10.630000114440918" hidden="0" customWidth="1"/>
    <x:col min="7" max="7" width="13.130000114440918" hidden="0" customWidth="1"/>
    <x:col min="8" max="8" width="14.380000114440918" hidden="0" customWidth="1"/>
    <x:col min="9" max="9" width="45" hidden="0" customWidth="1"/>
  </x:cols>
  <x:sheetData>
    <x:row r="1" ht="30" customHeight="1">
      <x:c r="A1" s="9" t="str">
        <x:v>심텍 SPS Trim P/G 전체 조건 목록</x:v>
      </x:c>
      <x:c r="B1" s="10" t="str">
        <x:v>심텍 SPS Trim P/G 전체 조건 목록</x:v>
      </x:c>
      <x:c r="C1" s="10" t="str">
        <x:v>심텍 SPS Trim P/G 전체 조건 목록</x:v>
      </x:c>
      <x:c r="D1" s="10" t="str">
        <x:v>심텍 SPS Trim P/G 전체 조건 목록</x:v>
      </x:c>
      <x:c r="E1" s="10" t="str">
        <x:v>심텍 SPS Trim P/G 전체 조건 목록</x:v>
      </x:c>
      <x:c r="F1" s="10" t="str">
        <x:v>심텍 SPS Trim P/G 전체 조건 목록</x:v>
      </x:c>
      <x:c r="G1" s="10" t="str">
        <x:v>심텍 SPS Trim P/G 전체 조건 목록</x:v>
      </x:c>
      <x:c r="H1" s="10" t="str">
        <x:v>심텍 SPS Trim P/G 전체 조건 목록</x:v>
      </x:c>
      <x:c r="I1" s="11" t="str">
        <x:v>심텍 SPS Trim P/G 전체 조건 목록</x:v>
      </x:c>
    </x:row>
    <x:row r="2" ht="21" customHeight="1">
      <x:c r="A2" s="20" t="str">
        <x:v>기준: SPS Program.zip / 검증일: 2026-08-08 / 전체 35개 / 별칭 7개</x:v>
      </x:c>
      <x:c r="B2" s="21" t="str">
        <x:v>기준: SPS Program.zip / 검증일: 2026-08-08 / 전체 35개 / 별칭 7개</x:v>
      </x:c>
      <x:c r="C2" s="21" t="str">
        <x:v>기준: SPS Program.zip / 검증일: 2026-08-08 / 전체 35개 / 별칭 7개</x:v>
      </x:c>
      <x:c r="D2" s="21" t="str">
        <x:v>기준: SPS Program.zip / 검증일: 2026-08-08 / 전체 35개 / 별칭 7개</x:v>
      </x:c>
      <x:c r="E2" s="21" t="str">
        <x:v>기준: SPS Program.zip / 검증일: 2026-08-08 / 전체 35개 / 별칭 7개</x:v>
      </x:c>
      <x:c r="F2" s="21" t="str">
        <x:v>기준: SPS Program.zip / 검증일: 2026-08-08 / 전체 35개 / 별칭 7개</x:v>
      </x:c>
      <x:c r="G2" s="21" t="str">
        <x:v>기준: SPS Program.zip / 검증일: 2026-08-08 / 전체 35개 / 별칭 7개</x:v>
      </x:c>
      <x:c r="H2" s="21" t="str">
        <x:v>기준: SPS Program.zip / 검증일: 2026-08-08 / 전체 35개 / 별칭 7개</x:v>
      </x:c>
      <x:c r="I2" s="22" t="str">
        <x:v>기준: SPS Program.zip / 검증일: 2026-08-08 / 전체 35개 / 별칭 7개</x:v>
      </x:c>
    </x:row>
    <x:row r="4" ht="22.5" customHeight="1">
      <x:c r="A4" s="28" t="str">
        <x:v>번호</x:v>
      </x:c>
      <x:c r="B4" s="28" t="str">
        <x:v>상태</x:v>
      </x:c>
      <x:c r="C4" s="28" t="str">
        <x:v>Trim P/G</x:v>
      </x:c>
      <x:c r="D4" s="28" t="str">
        <x:v>사이즈</x:v>
      </x:c>
      <x:c r="E4" s="28" t="str">
        <x:v>SHIFT</x:v>
      </x:c>
      <x:c r="F4" s="28" t="str">
        <x:v>사용 횟수</x:v>
      </x:c>
      <x:c r="G4" s="28" t="str">
        <x:v>최근 사용일</x:v>
      </x:c>
      <x:c r="H4" s="28" t="str">
        <x:v>실제 파일 확인</x:v>
      </x:c>
      <x:c r="I4" s="28" t="str">
        <x:v>비고</x:v>
      </x:c>
    </x:row>
    <x:row r="5" ht="18.75" customHeight="1">
      <x:c r="A5" s="32" t="n">
        <x:v>1</x:v>
      </x:c>
      <x:c r="B5" s="37" t="str">
        <x:v>관리자 확인</x:v>
      </x:c>
      <x:c r="C5" s="31" t="str">
        <x:v>06-OUT_(411-511)2R(New)</x:v>
      </x:c>
      <x:c r="D5" s="32" t="str">
        <x:v>411-511</x:v>
      </x:c>
      <x:c r="E5" s="32" t="str">
        <x:v>없음</x:v>
      </x:c>
      <x:c r="F5" s="33" t="n">
        <x:v>0</x:v>
      </x:c>
      <x:c r="G5" s="34"/>
      <x:c r="H5" s="32" t="str">
        <x:v>확인</x:v>
      </x:c>
      <x:c r="I5" s="35" t="str">
        <x:v>실제 파일 있음 / 작업일보 이력 미확인</x:v>
      </x:c>
    </x:row>
    <x:row r="6" ht="18.75" customHeight="1">
      <x:c r="A6" s="32" t="n">
        <x:v>2</x:v>
      </x:c>
      <x:c r="B6" s="39" t="str">
        <x:v>사용 가능</x:v>
      </x:c>
      <x:c r="C6" s="31" t="str">
        <x:v>06-OUT_(411-512)2R(New)</x:v>
      </x:c>
      <x:c r="D6" s="32" t="str">
        <x:v>411-512</x:v>
      </x:c>
      <x:c r="E6" s="32" t="str">
        <x:v>없음</x:v>
      </x:c>
      <x:c r="F6" s="33" t="n">
        <x:v>14</x:v>
      </x:c>
      <x:c r="G6" s="34" t="n">
        <x:v>46154</x:v>
      </x:c>
      <x:c r="H6" s="32" t="str">
        <x:v>확인</x:v>
      </x:c>
      <x:c r="I6" s="35" t="str">
        <x:v>작업일보 정상 이력 확인</x:v>
      </x:c>
    </x:row>
    <x:row r="7" ht="18.75" customHeight="1">
      <x:c r="A7" s="32" t="n">
        <x:v>3</x:v>
      </x:c>
      <x:c r="B7" s="39" t="str">
        <x:v>사용 가능</x:v>
      </x:c>
      <x:c r="C7" s="31" t="str">
        <x:v>ST-3Layer-500+4Hole(411-512)_2R_2_2024</x:v>
      </x:c>
      <x:c r="D7" s="32" t="str">
        <x:v>411-512</x:v>
      </x:c>
      <x:c r="E7" s="32" t="str">
        <x:v>없음</x:v>
      </x:c>
      <x:c r="F7" s="33" t="n">
        <x:v>23</x:v>
      </x:c>
      <x:c r="G7" s="34" t="n">
        <x:v>46092</x:v>
      </x:c>
      <x:c r="H7" s="32" t="str">
        <x:v>확인</x:v>
      </x:c>
      <x:c r="I7" s="35" t="str">
        <x:v>작업일보 정상 이력 확인</x:v>
      </x:c>
    </x:row>
    <x:row r="8" ht="18.75" customHeight="1">
      <x:c r="A8" s="32" t="n">
        <x:v>4</x:v>
      </x:c>
      <x:c r="B8" s="39" t="str">
        <x:v>사용 가능</x:v>
      </x:c>
      <x:c r="C8" s="31" t="str">
        <x:v>ST-3Layer-500+4Hole(411-512)_2R_2_2024 T01 T02 test</x:v>
      </x:c>
      <x:c r="D8" s="32" t="str">
        <x:v>411-512</x:v>
      </x:c>
      <x:c r="E8" s="32" t="str">
        <x:v>없음</x:v>
      </x:c>
      <x:c r="F8" s="33" t="n">
        <x:v>514</x:v>
      </x:c>
      <x:c r="G8" s="34" t="n">
        <x:v>46238</x:v>
      </x:c>
      <x:c r="H8" s="32" t="str">
        <x:v>확인</x:v>
      </x:c>
      <x:c r="I8" s="35" t="str">
        <x:v>작업일보 정상 이력 확인</x:v>
      </x:c>
    </x:row>
    <x:row r="9" ht="18.75" customHeight="1">
      <x:c r="A9" s="32" t="n">
        <x:v>5</x:v>
      </x:c>
      <x:c r="B9" s="39" t="str">
        <x:v>사용 가능</x:v>
      </x:c>
      <x:c r="C9" s="31" t="str">
        <x:v>ST-BOC-500(411-512)2R</x:v>
      </x:c>
      <x:c r="D9" s="32" t="str">
        <x:v>411-512</x:v>
      </x:c>
      <x:c r="E9" s="32" t="str">
        <x:v>없음</x:v>
      </x:c>
      <x:c r="F9" s="33" t="n">
        <x:v>1247</x:v>
      </x:c>
      <x:c r="G9" s="34" t="n">
        <x:v>46238</x:v>
      </x:c>
      <x:c r="H9" s="32" t="str">
        <x:v>확인</x:v>
      </x:c>
      <x:c r="I9" s="35" t="str">
        <x:v>작업일보 정상 이력 확인</x:v>
      </x:c>
    </x:row>
    <x:row r="10" ht="18.75" customHeight="1">
      <x:c r="A10" s="32" t="n">
        <x:v>6</x:v>
      </x:c>
      <x:c r="B10" s="37" t="str">
        <x:v>관리자 확인</x:v>
      </x:c>
      <x:c r="C10" s="31" t="str">
        <x:v>ST-3Layer-500(412-512)2R</x:v>
      </x:c>
      <x:c r="D10" s="32" t="str">
        <x:v>412-512</x:v>
      </x:c>
      <x:c r="E10" s="32" t="str">
        <x:v>없음</x:v>
      </x:c>
      <x:c r="F10" s="33" t="n">
        <x:v>0</x:v>
      </x:c>
      <x:c r="G10" s="34"/>
      <x:c r="H10" s="32" t="str">
        <x:v>확인</x:v>
      </x:c>
      <x:c r="I10" s="35" t="str">
        <x:v>실제 파일 있음 / 작업일보 이력 미확인</x:v>
      </x:c>
    </x:row>
    <x:row r="11" ht="18.75" customHeight="1">
      <x:c r="A11" s="32" t="n">
        <x:v>7</x:v>
      </x:c>
      <x:c r="B11" s="37" t="str">
        <x:v>관리자 확인</x:v>
      </x:c>
      <x:c r="C11" s="31" t="str">
        <x:v>ST-3Layer-500+2Hole(412-512)_2R_2</x:v>
      </x:c>
      <x:c r="D11" s="32" t="str">
        <x:v>412-512</x:v>
      </x:c>
      <x:c r="E11" s="32" t="str">
        <x:v>없음</x:v>
      </x:c>
      <x:c r="F11" s="33" t="n">
        <x:v>0</x:v>
      </x:c>
      <x:c r="G11" s="34"/>
      <x:c r="H11" s="32" t="str">
        <x:v>확인</x:v>
      </x:c>
      <x:c r="I11" s="35" t="str">
        <x:v>실제 파일 있음 / 작업일보 이력 미확인</x:v>
      </x:c>
    </x:row>
    <x:row r="12" ht="18.75" customHeight="1">
      <x:c r="A12" s="32" t="n">
        <x:v>8</x:v>
      </x:c>
      <x:c r="B12" s="37" t="str">
        <x:v>관리자 확인</x:v>
      </x:c>
      <x:c r="C12" s="31" t="str">
        <x:v>ST-3Layer-500(413-512)_2R_2</x:v>
      </x:c>
      <x:c r="D12" s="32" t="str">
        <x:v>413-512</x:v>
      </x:c>
      <x:c r="E12" s="32" t="str">
        <x:v>없음</x:v>
      </x:c>
      <x:c r="F12" s="33" t="n">
        <x:v>0</x:v>
      </x:c>
      <x:c r="G12" s="34"/>
      <x:c r="H12" s="32" t="str">
        <x:v>확인</x:v>
      </x:c>
      <x:c r="I12" s="35" t="str">
        <x:v>실제 파일 있음 / 작업일보 이력 미확인</x:v>
      </x:c>
    </x:row>
    <x:row r="13" ht="18.75" customHeight="1">
      <x:c r="A13" s="32" t="n">
        <x:v>9</x:v>
      </x:c>
      <x:c r="B13" s="37" t="str">
        <x:v>관리자 확인</x:v>
      </x:c>
      <x:c r="C13" s="31" t="str">
        <x:v>ST-3Layer-500+2Hole(413-512)_2R_2</x:v>
      </x:c>
      <x:c r="D13" s="32" t="str">
        <x:v>413-512</x:v>
      </x:c>
      <x:c r="E13" s="32" t="str">
        <x:v>없음</x:v>
      </x:c>
      <x:c r="F13" s="33" t="n">
        <x:v>0</x:v>
      </x:c>
      <x:c r="G13" s="34"/>
      <x:c r="H13" s="32" t="str">
        <x:v>확인</x:v>
      </x:c>
      <x:c r="I13" s="35" t="str">
        <x:v>실제 파일 있음 / 작업일보 이력 미확인</x:v>
      </x:c>
    </x:row>
    <x:row r="14" ht="18.75" customHeight="1">
      <x:c r="A14" s="32" t="n">
        <x:v>10</x:v>
      </x:c>
      <x:c r="B14" s="39" t="str">
        <x:v>사용 가능</x:v>
      </x:c>
      <x:c r="C14" s="31" t="str">
        <x:v>ST-3Layer-500+2Hole(413-513)_2R_2</x:v>
      </x:c>
      <x:c r="D14" s="32" t="str">
        <x:v>413-513</x:v>
      </x:c>
      <x:c r="E14" s="32" t="str">
        <x:v>없음</x:v>
      </x:c>
      <x:c r="F14" s="33" t="n">
        <x:v>0</x:v>
      </x:c>
      <x:c r="G14" s="34"/>
      <x:c r="H14" s="32" t="str">
        <x:v>확인</x:v>
      </x:c>
      <x:c r="I14" s="35" t="str">
        <x:v>확정 대표 파일</x:v>
      </x:c>
    </x:row>
    <x:row r="15" ht="18.75" customHeight="1">
      <x:c r="A15" s="32" t="n">
        <x:v>11</x:v>
      </x:c>
      <x:c r="B15" s="39" t="str">
        <x:v>사용 가능</x:v>
      </x:c>
      <x:c r="C15" s="31" t="str">
        <x:v>ST-06-1-500+10(413-513)2R</x:v>
      </x:c>
      <x:c r="D15" s="32" t="str">
        <x:v>413-513</x:v>
      </x:c>
      <x:c r="E15" s="32" t="n">
        <x:v>10</x:v>
      </x:c>
      <x:c r="F15" s="33" t="n">
        <x:v>19</x:v>
      </x:c>
      <x:c r="G15" s="34" t="n">
        <x:v>46238</x:v>
      </x:c>
      <x:c r="H15" s="32" t="str">
        <x:v>확인</x:v>
      </x:c>
      <x:c r="I15" s="35" t="str">
        <x:v>확정 대표 파일 / 과거 괄호 표기 6건 포함</x:v>
      </x:c>
    </x:row>
    <x:row r="16" ht="18.75" customHeight="1">
      <x:c r="A16" s="32" t="n">
        <x:v>12</x:v>
      </x:c>
      <x:c r="B16" s="37" t="str">
        <x:v>관리자 확인</x:v>
      </x:c>
      <x:c r="C16" s="31" t="str">
        <x:v>ST-3Layer-500(413-513)_2R</x:v>
      </x:c>
      <x:c r="D16" s="32" t="str">
        <x:v>413-513</x:v>
      </x:c>
      <x:c r="E16" s="32" t="str">
        <x:v>없음</x:v>
      </x:c>
      <x:c r="F16" s="33" t="n">
        <x:v>0</x:v>
      </x:c>
      <x:c r="G16" s="34"/>
      <x:c r="H16" s="32" t="str">
        <x:v>확인</x:v>
      </x:c>
      <x:c r="I16" s="35" t="str">
        <x:v>실제 파일 있음 / 작업일보 이력 미확인</x:v>
      </x:c>
    </x:row>
    <x:row r="17" ht="18.75" customHeight="1">
      <x:c r="A17" s="32" t="n">
        <x:v>13</x:v>
      </x:c>
      <x:c r="B17" s="37" t="str">
        <x:v>관리자 확인</x:v>
      </x:c>
      <x:c r="C17" s="31" t="str">
        <x:v>ST-3Layer-500(413-513)2R</x:v>
      </x:c>
      <x:c r="D17" s="32" t="str">
        <x:v>413-513</x:v>
      </x:c>
      <x:c r="E17" s="32" t="str">
        <x:v>없음</x:v>
      </x:c>
      <x:c r="F17" s="33" t="n">
        <x:v>0</x:v>
      </x:c>
      <x:c r="G17" s="34"/>
      <x:c r="H17" s="32" t="str">
        <x:v>확인</x:v>
      </x:c>
      <x:c r="I17" s="35" t="str">
        <x:v>실제 파일 있음 / 별도 실제 파일</x:v>
      </x:c>
    </x:row>
    <x:row r="18" ht="18.75" customHeight="1">
      <x:c r="A18" s="32" t="n">
        <x:v>14</x:v>
      </x:c>
      <x:c r="B18" s="37" t="str">
        <x:v>관리자 확인</x:v>
      </x:c>
      <x:c r="C18" s="31" t="str">
        <x:v>ST-BOC-500(413-513)2R(New)</x:v>
      </x:c>
      <x:c r="D18" s="32" t="str">
        <x:v>413-513</x:v>
      </x:c>
      <x:c r="E18" s="32" t="str">
        <x:v>없음</x:v>
      </x:c>
      <x:c r="F18" s="33" t="n">
        <x:v>0</x:v>
      </x:c>
      <x:c r="G18" s="34"/>
      <x:c r="H18" s="32" t="str">
        <x:v>확인</x:v>
      </x:c>
      <x:c r="I18" s="35" t="str">
        <x:v>실제 파일 있음 / 작업일보 이력 미확인</x:v>
      </x:c>
    </x:row>
    <x:row r="19" ht="18.75" customHeight="1">
      <x:c r="A19" s="32" t="n">
        <x:v>15</x:v>
      </x:c>
      <x:c r="B19" s="37" t="str">
        <x:v>관리자 확인</x:v>
      </x:c>
      <x:c r="C19" s="31" t="str">
        <x:v>ST-08-1차-500(+10)(413-513)2R</x:v>
      </x:c>
      <x:c r="D19" s="32" t="str">
        <x:v>413-513</x:v>
      </x:c>
      <x:c r="E19" s="32" t="n">
        <x:v>10</x:v>
      </x:c>
      <x:c r="F19" s="33" t="n">
        <x:v>0</x:v>
      </x:c>
      <x:c r="G19" s="34"/>
      <x:c r="H19" s="32" t="str">
        <x:v>확인</x:v>
      </x:c>
      <x:c r="I19" s="35" t="str">
        <x:v>실제 파일 있음 / 작업일보 이력 미확인</x:v>
      </x:c>
    </x:row>
    <x:row r="20" ht="18.75" customHeight="1">
      <x:c r="A20" s="32" t="n">
        <x:v>16</x:v>
      </x:c>
      <x:c r="B20" s="41" t="str">
        <x:v>중복 사용중지</x:v>
      </x:c>
      <x:c r="C20" s="31" t="str">
        <x:v>ST-3Layer-500+2Hole(413-513)_2R_2회</x:v>
      </x:c>
      <x:c r="D20" s="32" t="str">
        <x:v>413-513</x:v>
      </x:c>
      <x:c r="E20" s="32" t="str">
        <x:v>없음</x:v>
      </x:c>
      <x:c r="F20" s="33" t="n">
        <x:v>0</x:v>
      </x:c>
      <x:c r="G20" s="34"/>
      <x:c r="H20" s="32" t="str">
        <x:v>확인</x:v>
      </x:c>
      <x:c r="I20" s="35" t="str">
        <x:v>대표 파일 ST-3Layer-500+2Hole(413-513)_2R_2 사용</x:v>
      </x:c>
    </x:row>
    <x:row r="21" ht="18.75" customHeight="1">
      <x:c r="A21" s="32" t="n">
        <x:v>17</x:v>
      </x:c>
      <x:c r="B21" s="41" t="str">
        <x:v>중복 사용중지</x:v>
      </x:c>
      <x:c r="C21" s="31" t="str">
        <x:v>ST-06--500+10(413-513)2R</x:v>
      </x:c>
      <x:c r="D21" s="32" t="str">
        <x:v>413-513</x:v>
      </x:c>
      <x:c r="E21" s="32" t="n">
        <x:v>10</x:v>
      </x:c>
      <x:c r="F21" s="33" t="n">
        <x:v>0</x:v>
      </x:c>
      <x:c r="G21" s="34"/>
      <x:c r="H21" s="32" t="str">
        <x:v>확인</x:v>
      </x:c>
      <x:c r="I21" s="35" t="str">
        <x:v>대표 파일 ST-06-1-500+10(413-513)2R 사용</x:v>
      </x:c>
    </x:row>
    <x:row r="22" ht="18.75" customHeight="1">
      <x:c r="A22" s="32" t="n">
        <x:v>18</x:v>
      </x:c>
      <x:c r="B22" s="39" t="str">
        <x:v>사용 가능</x:v>
      </x:c>
      <x:c r="C22" s="31" t="str">
        <x:v>ST-03R-500(413-514)_2R</x:v>
      </x:c>
      <x:c r="D22" s="32" t="str">
        <x:v>413-514</x:v>
      </x:c>
      <x:c r="E22" s="32" t="str">
        <x:v>없음</x:v>
      </x:c>
      <x:c r="F22" s="33" t="n">
        <x:v>0</x:v>
      </x:c>
      <x:c r="G22" s="34"/>
      <x:c r="H22" s="32" t="str">
        <x:v>확인</x:v>
      </x:c>
      <x:c r="I22" s="35" t="str">
        <x:v>확정 대표 파일</x:v>
      </x:c>
    </x:row>
    <x:row r="23" ht="18.75" customHeight="1">
      <x:c r="A23" s="32" t="n">
        <x:v>19</x:v>
      </x:c>
      <x:c r="B23" s="37" t="str">
        <x:v>관리자 확인</x:v>
      </x:c>
      <x:c r="C23" s="31" t="str">
        <x:v>ST-3Layer-500+2Hole(413-514)_2R_2</x:v>
      </x:c>
      <x:c r="D23" s="32" t="str">
        <x:v>413-514</x:v>
      </x:c>
      <x:c r="E23" s="32" t="str">
        <x:v>없음</x:v>
      </x:c>
      <x:c r="F23" s="33" t="n">
        <x:v>0</x:v>
      </x:c>
      <x:c r="G23" s="34"/>
      <x:c r="H23" s="32" t="str">
        <x:v>확인</x:v>
      </x:c>
      <x:c r="I23" s="35" t="str">
        <x:v>실제 파일 있음 / 작업일보 이력 미확인</x:v>
      </x:c>
    </x:row>
    <x:row r="24" ht="18.75" customHeight="1">
      <x:c r="A24" s="32" t="n">
        <x:v>20</x:v>
      </x:c>
      <x:c r="B24" s="37" t="str">
        <x:v>관리자 확인</x:v>
      </x:c>
      <x:c r="C24" s="31" t="str">
        <x:v>ST-BOC-500(+10)(413-514)2R(New2)</x:v>
      </x:c>
      <x:c r="D24" s="32" t="str">
        <x:v>413-514</x:v>
      </x:c>
      <x:c r="E24" s="32" t="n">
        <x:v>10</x:v>
      </x:c>
      <x:c r="F24" s="33" t="n">
        <x:v>19</x:v>
      </x:c>
      <x:c r="G24" s="34" t="n">
        <x:v>45988</x:v>
      </x:c>
      <x:c r="H24" s="32" t="str">
        <x:v>확인</x:v>
      </x:c>
      <x:c r="I24" s="35" t="str">
        <x:v>과거 OMS2 SHIFT 빈칸 이력으로 관리자 확인</x:v>
      </x:c>
    </x:row>
    <x:row r="25" ht="18.75" customHeight="1">
      <x:c r="A25" s="32" t="n">
        <x:v>21</x:v>
      </x:c>
      <x:c r="B25" s="41" t="str">
        <x:v>중복 사용중지</x:v>
      </x:c>
      <x:c r="C25" s="31" t="str">
        <x:v>ST-03R-500(413-514)2R</x:v>
      </x:c>
      <x:c r="D25" s="32" t="str">
        <x:v>413-514</x:v>
      </x:c>
      <x:c r="E25" s="32" t="str">
        <x:v>없음</x:v>
      </x:c>
      <x:c r="F25" s="33" t="n">
        <x:v>0</x:v>
      </x:c>
      <x:c r="G25" s="34"/>
      <x:c r="H25" s="32" t="str">
        <x:v>확인</x:v>
      </x:c>
      <x:c r="I25" s="35" t="str">
        <x:v>대표 파일 ST-03R-500(413-514)_2R 사용</x:v>
      </x:c>
    </x:row>
    <x:row r="26" ht="18.75" customHeight="1">
      <x:c r="A26" s="32" t="n">
        <x:v>22</x:v>
      </x:c>
      <x:c r="B26" s="37" t="str">
        <x:v>관리자 확인</x:v>
      </x:c>
      <x:c r="C26" s="31" t="str">
        <x:v>ST-08-1차-500(+20)(414-514)R</x:v>
      </x:c>
      <x:c r="D26" s="32" t="str">
        <x:v>414-514</x:v>
      </x:c>
      <x:c r="E26" s="32" t="n">
        <x:v>20</x:v>
      </x:c>
      <x:c r="F26" s="33" t="n">
        <x:v>0</x:v>
      </x:c>
      <x:c r="G26" s="34"/>
      <x:c r="H26" s="32" t="str">
        <x:v>확인</x:v>
      </x:c>
      <x:c r="I26" s="35" t="str">
        <x:v>실제 파일 있음 / 작업일보 이력 미확인</x:v>
      </x:c>
    </x:row>
    <x:row r="27" ht="18.75" customHeight="1">
      <x:c r="A27" s="32" t="n">
        <x:v>23</x:v>
      </x:c>
      <x:c r="B27" s="37" t="str">
        <x:v>관리자 확인</x:v>
      </x:c>
      <x:c r="C27" s="31" t="str">
        <x:v>ST-03R-500(414-515)_2R</x:v>
      </x:c>
      <x:c r="D27" s="32" t="str">
        <x:v>414-515</x:v>
      </x:c>
      <x:c r="E27" s="32" t="str">
        <x:v>없음</x:v>
      </x:c>
      <x:c r="F27" s="33" t="n">
        <x:v>1</x:v>
      </x:c>
      <x:c r="G27" s="34" t="n">
        <x:v>46218</x:v>
      </x:c>
      <x:c r="H27" s="32" t="str">
        <x:v>확인</x:v>
      </x:c>
      <x:c r="I27" s="35" t="str">
        <x:v>실제 파일 있음 / 1건 이력</x:v>
      </x:c>
    </x:row>
    <x:row r="28" ht="18.75" customHeight="1">
      <x:c r="A28" s="32" t="n">
        <x:v>24</x:v>
      </x:c>
      <x:c r="B28" s="37" t="str">
        <x:v>관리자 확인</x:v>
      </x:c>
      <x:c r="C28" s="31" t="str">
        <x:v>ST-04ETS-3차-500(414-515)_2R</x:v>
      </x:c>
      <x:c r="D28" s="32" t="str">
        <x:v>414-515</x:v>
      </x:c>
      <x:c r="E28" s="32" t="str">
        <x:v>없음</x:v>
      </x:c>
      <x:c r="F28" s="33" t="n">
        <x:v>0</x:v>
      </x:c>
      <x:c r="G28" s="34"/>
      <x:c r="H28" s="32" t="str">
        <x:v>확인</x:v>
      </x:c>
      <x:c r="I28" s="35" t="str">
        <x:v>실제 파일 있음 / 작업일보 이력 미확인</x:v>
      </x:c>
    </x:row>
    <x:row r="29" ht="18.75" customHeight="1">
      <x:c r="A29" s="32" t="n">
        <x:v>25</x:v>
      </x:c>
      <x:c r="B29" s="37" t="str">
        <x:v>관리자 확인</x:v>
      </x:c>
      <x:c r="C29" s="31" t="str">
        <x:v>ST-3Layer-500+2Hole(414-515)_2R_2</x:v>
      </x:c>
      <x:c r="D29" s="32" t="str">
        <x:v>414-515</x:v>
      </x:c>
      <x:c r="E29" s="32" t="str">
        <x:v>없음</x:v>
      </x:c>
      <x:c r="F29" s="33" t="n">
        <x:v>0</x:v>
      </x:c>
      <x:c r="G29" s="34"/>
      <x:c r="H29" s="32" t="str">
        <x:v>확인</x:v>
      </x:c>
      <x:c r="I29" s="35" t="str">
        <x:v>실제 파일 있음 / 작업일보 이력 미확인</x:v>
      </x:c>
    </x:row>
    <x:row r="30" ht="18.75" customHeight="1">
      <x:c r="A30" s="32" t="n">
        <x:v>26</x:v>
      </x:c>
      <x:c r="B30" s="39" t="str">
        <x:v>사용 가능</x:v>
      </x:c>
      <x:c r="C30" s="31" t="str">
        <x:v>ST-03L-500(415-515)2R</x:v>
      </x:c>
      <x:c r="D30" s="32" t="str">
        <x:v>415-515</x:v>
      </x:c>
      <x:c r="E30" s="32" t="str">
        <x:v>없음</x:v>
      </x:c>
      <x:c r="F30" s="33" t="n">
        <x:v>64</x:v>
      </x:c>
      <x:c r="G30" s="34" t="n">
        <x:v>46180</x:v>
      </x:c>
      <x:c r="H30" s="32" t="str">
        <x:v>확인</x:v>
      </x:c>
      <x:c r="I30" s="35" t="str">
        <x:v>대표 파일 / 과거 L2 표기 28건 포함</x:v>
      </x:c>
    </x:row>
    <x:row r="31" ht="18.75" customHeight="1">
      <x:c r="A31" s="32" t="n">
        <x:v>27</x:v>
      </x:c>
      <x:c r="B31" s="37" t="str">
        <x:v>관리자 확인</x:v>
      </x:c>
      <x:c r="C31" s="31" t="str">
        <x:v>ST-03R-500(415-515-C)_2R</x:v>
      </x:c>
      <x:c r="D31" s="32" t="str">
        <x:v>415-515</x:v>
      </x:c>
      <x:c r="E31" s="32" t="str">
        <x:v>없음</x:v>
      </x:c>
      <x:c r="F31" s="33" t="n">
        <x:v>0</x:v>
      </x:c>
      <x:c r="G31" s="34"/>
      <x:c r="H31" s="32" t="str">
        <x:v>확인</x:v>
      </x:c>
      <x:c r="I31" s="35" t="str">
        <x:v>실제 파일 있음 / 작업일보 이력 미확인</x:v>
      </x:c>
    </x:row>
    <x:row r="32" ht="18.75" customHeight="1">
      <x:c r="A32" s="32" t="n">
        <x:v>28</x:v>
      </x:c>
      <x:c r="B32" s="43" t="str">
        <x:v>적용 불가</x:v>
      </x:c>
      <x:c r="C32" s="31" t="str">
        <x:v>ST-03L2-500(2ND)(415-515)_2R</x:v>
      </x:c>
      <x:c r="D32" s="32" t="str">
        <x:v>415-515</x:v>
      </x:c>
      <x:c r="E32" s="32" t="str">
        <x:v>없음</x:v>
      </x:c>
      <x:c r="F32" s="33" t="n">
        <x:v>5</x:v>
      </x:c>
      <x:c r="G32" s="34" t="n">
        <x:v>45988</x:v>
      </x:c>
      <x:c r="H32" s="43" t="str">
        <x:v>미확인</x:v>
      </x:c>
      <x:c r="I32" s="35" t="str">
        <x:v>작업일보 이력만 존재 / 실제 파일 없음</x:v>
      </x:c>
    </x:row>
    <x:row r="33" ht="18.75" customHeight="1">
      <x:c r="A33" s="32" t="n">
        <x:v>29</x:v>
      </x:c>
      <x:c r="B33" s="39" t="str">
        <x:v>사용 가능</x:v>
      </x:c>
      <x:c r="C33" s="31" t="str">
        <x:v>ST-BOC-500(415-516)2R(New)</x:v>
      </x:c>
      <x:c r="D33" s="32" t="str">
        <x:v>415-516</x:v>
      </x:c>
      <x:c r="E33" s="32" t="str">
        <x:v>없음</x:v>
      </x:c>
      <x:c r="F33" s="33" t="n">
        <x:v>4</x:v>
      </x:c>
      <x:c r="G33" s="34" t="n">
        <x:v>46092</x:v>
      </x:c>
      <x:c r="H33" s="32" t="str">
        <x:v>확인</x:v>
      </x:c>
      <x:c r="I33" s="35" t="str">
        <x:v>작업일보 정상 이력 확인</x:v>
      </x:c>
    </x:row>
    <x:row r="34" ht="18.75" customHeight="1">
      <x:c r="A34" s="32" t="n">
        <x:v>30</x:v>
      </x:c>
      <x:c r="B34" s="39" t="str">
        <x:v>사용 가능</x:v>
      </x:c>
      <x:c r="C34" s="31" t="str">
        <x:v>ST-04ETS-2-500+10(415-516)2R</x:v>
      </x:c>
      <x:c r="D34" s="32" t="str">
        <x:v>415-516</x:v>
      </x:c>
      <x:c r="E34" s="32" t="n">
        <x:v>10</x:v>
      </x:c>
      <x:c r="F34" s="33" t="n">
        <x:v>13</x:v>
      </x:c>
      <x:c r="G34" s="34" t="n">
        <x:v>46136</x:v>
      </x:c>
      <x:c r="H34" s="32" t="str">
        <x:v>확인</x:v>
      </x:c>
      <x:c r="I34" s="35" t="str">
        <x:v>작업일보 정상 이력 확인</x:v>
      </x:c>
    </x:row>
    <x:row r="35" ht="18.75" customHeight="1">
      <x:c r="A35" s="32" t="n">
        <x:v>31</x:v>
      </x:c>
      <x:c r="B35" s="37" t="str">
        <x:v>관리자 확인</x:v>
      </x:c>
      <x:c r="C35" s="31" t="str">
        <x:v>ST-03L-500(415-516)_2R</x:v>
      </x:c>
      <x:c r="D35" s="32" t="str">
        <x:v>415-516</x:v>
      </x:c>
      <x:c r="E35" s="32" t="str">
        <x:v>없음</x:v>
      </x:c>
      <x:c r="F35" s="33" t="n">
        <x:v>1</x:v>
      </x:c>
      <x:c r="G35" s="34" t="n">
        <x:v>46238</x:v>
      </x:c>
      <x:c r="H35" s="32" t="str">
        <x:v>확인</x:v>
      </x:c>
      <x:c r="I35" s="35" t="str">
        <x:v>실제 파일 있음 / 1건 이력</x:v>
      </x:c>
    </x:row>
    <x:row r="36" ht="18.75" customHeight="1">
      <x:c r="A36" s="32" t="n">
        <x:v>32</x:v>
      </x:c>
      <x:c r="B36" s="37" t="str">
        <x:v>관리자 확인</x:v>
      </x:c>
      <x:c r="C36" s="31" t="str">
        <x:v>ST-500(415_516+10)2R(New)</x:v>
      </x:c>
      <x:c r="D36" s="32" t="str">
        <x:v>415-516</x:v>
      </x:c>
      <x:c r="E36" s="32" t="n">
        <x:v>10</x:v>
      </x:c>
      <x:c r="F36" s="33" t="n">
        <x:v>0</x:v>
      </x:c>
      <x:c r="G36" s="34"/>
      <x:c r="H36" s="32" t="str">
        <x:v>확인</x:v>
      </x:c>
      <x:c r="I36" s="35" t="str">
        <x:v>명칭 예외를 카탈로그에서 415-516 / +10으로 명시</x:v>
      </x:c>
    </x:row>
    <x:row r="37" ht="18.75" customHeight="1">
      <x:c r="A37" s="32" t="n">
        <x:v>33</x:v>
      </x:c>
      <x:c r="B37" s="37" t="str">
        <x:v>관리자 확인</x:v>
      </x:c>
      <x:c r="C37" s="31" t="str">
        <x:v>ST-BOC-500(+10)(415-516)2R(New)</x:v>
      </x:c>
      <x:c r="D37" s="32" t="str">
        <x:v>415-516</x:v>
      </x:c>
      <x:c r="E37" s="32" t="n">
        <x:v>10</x:v>
      </x:c>
      <x:c r="F37" s="33" t="n">
        <x:v>1</x:v>
      </x:c>
      <x:c r="G37" s="34" t="n">
        <x:v>46154</x:v>
      </x:c>
      <x:c r="H37" s="32" t="str">
        <x:v>확인</x:v>
      </x:c>
      <x:c r="I37" s="35" t="str">
        <x:v>실제 파일 있음 / 1건 이력</x:v>
      </x:c>
    </x:row>
    <x:row r="38" ht="18.75" customHeight="1">
      <x:c r="A38" s="32" t="n">
        <x:v>34</x:v>
      </x:c>
      <x:c r="B38" s="37" t="str">
        <x:v>관리자 확인</x:v>
      </x:c>
      <x:c r="C38" s="31" t="str">
        <x:v>ST-ETS-2차-500(+15)(415-516)2R</x:v>
      </x:c>
      <x:c r="D38" s="32" t="str">
        <x:v>415-516</x:v>
      </x:c>
      <x:c r="E38" s="32" t="n">
        <x:v>15</x:v>
      </x:c>
      <x:c r="F38" s="33" t="n">
        <x:v>0</x:v>
      </x:c>
      <x:c r="G38" s="34"/>
      <x:c r="H38" s="32" t="str">
        <x:v>확인</x:v>
      </x:c>
      <x:c r="I38" s="35" t="str">
        <x:v>실제 파일 있음 / 작업일보 이력 미확인</x:v>
      </x:c>
    </x:row>
    <x:row r="39" ht="18.75" customHeight="1">
      <x:c r="A39" s="32" t="n">
        <x:v>35</x:v>
      </x:c>
      <x:c r="B39" s="43" t="str">
        <x:v>적용 불가</x:v>
      </x:c>
      <x:c r="C39" s="31" t="str">
        <x:v>ST-03L-500(415-516-C)_2R</x:v>
      </x:c>
      <x:c r="D39" s="32" t="str">
        <x:v>415-516</x:v>
      </x:c>
      <x:c r="E39" s="32" t="str">
        <x:v>없음</x:v>
      </x:c>
      <x:c r="F39" s="33" t="n">
        <x:v>1</x:v>
      </x:c>
      <x:c r="G39" s="34" t="n">
        <x:v>46118</x:v>
      </x:c>
      <x:c r="H39" s="43" t="str">
        <x:v>미확인</x:v>
      </x:c>
      <x:c r="I39" s="35" t="str">
        <x:v>대상 불명확 / 실제 파일 없음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d20e8c530506473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0" hidden="0" customWidth="1"/>
    <x:col min="3" max="3" width="11.880000114440918" hidden="0" customWidth="1"/>
    <x:col min="4" max="4" width="13.130000114440918" hidden="0" customWidth="1"/>
    <x:col min="5" max="5" width="14.380000114440918" hidden="0" customWidth="1"/>
    <x:col min="6" max="6" width="11.25" hidden="0" customWidth="1"/>
    <x:col min="7" max="7" width="11.880000114440918" hidden="0" customWidth="1"/>
  </x:cols>
  <x:sheetData>
    <x:row r="1" ht="30" customHeight="1">
      <x:c r="A1" s="9" t="str">
        <x:v>심텍 SPS 조건 사이즈별 요약</x:v>
      </x:c>
      <x:c r="B1" s="10" t="str">
        <x:v>심텍 SPS 조건 사이즈별 요약</x:v>
      </x:c>
      <x:c r="C1" s="10" t="str">
        <x:v>심텍 SPS 조건 사이즈별 요약</x:v>
      </x:c>
      <x:c r="D1" s="10" t="str">
        <x:v>심텍 SPS 조건 사이즈별 요약</x:v>
      </x:c>
      <x:c r="E1" s="10" t="str">
        <x:v>심텍 SPS 조건 사이즈별 요약</x:v>
      </x:c>
      <x:c r="F1" s="10" t="str">
        <x:v>심텍 SPS 조건 사이즈별 요약</x:v>
      </x:c>
      <x:c r="G1" s="11" t="str">
        <x:v>심텍 SPS 조건 사이즈별 요약</x:v>
      </x:c>
    </x:row>
    <x:row r="2" ht="21" customHeight="1">
      <x:c r="A2" s="20" t="str">
        <x:v>전체 조건 목록을 기준으로 상태와 SHIFT 보유 조건 수를 자동 집계합니다.</x:v>
      </x:c>
      <x:c r="B2" s="21" t="str">
        <x:v>전체 조건 목록을 기준으로 상태와 SHIFT 보유 조건 수를 자동 집계합니다.</x:v>
      </x:c>
      <x:c r="C2" s="21" t="str">
        <x:v>전체 조건 목록을 기준으로 상태와 SHIFT 보유 조건 수를 자동 집계합니다.</x:v>
      </x:c>
      <x:c r="D2" s="21" t="str">
        <x:v>전체 조건 목록을 기준으로 상태와 SHIFT 보유 조건 수를 자동 집계합니다.</x:v>
      </x:c>
      <x:c r="E2" s="21" t="str">
        <x:v>전체 조건 목록을 기준으로 상태와 SHIFT 보유 조건 수를 자동 집계합니다.</x:v>
      </x:c>
      <x:c r="F2" s="21" t="str">
        <x:v>전체 조건 목록을 기준으로 상태와 SHIFT 보유 조건 수를 자동 집계합니다.</x:v>
      </x:c>
      <x:c r="G2" s="22" t="str">
        <x:v>전체 조건 목록을 기준으로 상태와 SHIFT 보유 조건 수를 자동 집계합니다.</x:v>
      </x:c>
    </x:row>
    <x:row r="4" ht="22.5" customHeight="1">
      <x:c r="A4" s="28" t="str">
        <x:v>사이즈</x:v>
      </x:c>
      <x:c r="B4" s="28" t="str">
        <x:v>전체</x:v>
      </x:c>
      <x:c r="C4" s="28" t="str">
        <x:v>사용 가능</x:v>
      </x:c>
      <x:c r="D4" s="28" t="str">
        <x:v>관리자 확인</x:v>
      </x:c>
      <x:c r="E4" s="28" t="str">
        <x:v>중복 사용중지</x:v>
      </x:c>
      <x:c r="F4" s="28" t="str">
        <x:v>적용 불가</x:v>
      </x:c>
      <x:c r="G4" s="28" t="str">
        <x:v>SHIFT 조건</x:v>
      </x:c>
    </x:row>
    <x:row r="5" ht="18.75" customHeight="1">
      <x:c r="A5" s="32" t="str">
        <x:v>411-511</x:v>
      </x:c>
      <x:c r="B5" s="44" t="n">
        <x:f>COUNTIF('전체 조건 목록'!$D$5:$D$39,A5)</x:f>
        <x:v>1</x:v>
      </x:c>
      <x:c r="C5" s="44" t="n">
        <x:f>COUNTIFS('전체 조건 목록'!$D$5:$D$39,A5,'전체 조건 목록'!$B$5:$B$39,"사용 가능")</x:f>
        <x:v>0</x:v>
      </x:c>
      <x:c r="D5" s="44" t="n">
        <x:f>COUNTIFS('전체 조건 목록'!$D$5:$D$39,A5,'전체 조건 목록'!$B$5:$B$39,"관리자 확인")</x:f>
        <x:v>1</x:v>
      </x:c>
      <x:c r="E5" s="44" t="n">
        <x:f>COUNTIFS('전체 조건 목록'!$D$5:$D$39,A5,'전체 조건 목록'!$B$5:$B$39,"중복 사용중지")</x:f>
        <x:v>0</x:v>
      </x:c>
      <x:c r="F5" s="44" t="n">
        <x:f>COUNTIFS('전체 조건 목록'!$D$5:$D$39,A5,'전체 조건 목록'!$B$5:$B$39,"적용 불가")</x:f>
        <x:v>0</x:v>
      </x:c>
      <x:c r="G5" s="44" t="n">
        <x:f>COUNTIFS('전체 조건 목록'!$D$5:$D$39,A5,'전체 조건 목록'!$E$5:$E$39,"&lt;&gt;없음")</x:f>
        <x:v>0</x:v>
      </x:c>
    </x:row>
    <x:row r="6" ht="18.75" customHeight="1">
      <x:c r="A6" s="32" t="str">
        <x:v>411-512</x:v>
      </x:c>
      <x:c r="B6" s="44" t="n">
        <x:f>COUNTIF('전체 조건 목록'!$D$5:$D$39,A6)</x:f>
        <x:v>4</x:v>
      </x:c>
      <x:c r="C6" s="44" t="n">
        <x:f>COUNTIFS('전체 조건 목록'!$D$5:$D$39,A6,'전체 조건 목록'!$B$5:$B$39,"사용 가능")</x:f>
        <x:v>4</x:v>
      </x:c>
      <x:c r="D6" s="44" t="n">
        <x:f>COUNTIFS('전체 조건 목록'!$D$5:$D$39,A6,'전체 조건 목록'!$B$5:$B$39,"관리자 확인")</x:f>
        <x:v>0</x:v>
      </x:c>
      <x:c r="E6" s="44" t="n">
        <x:f>COUNTIFS('전체 조건 목록'!$D$5:$D$39,A6,'전체 조건 목록'!$B$5:$B$39,"중복 사용중지")</x:f>
        <x:v>0</x:v>
      </x:c>
      <x:c r="F6" s="44" t="n">
        <x:f>COUNTIFS('전체 조건 목록'!$D$5:$D$39,A6,'전체 조건 목록'!$B$5:$B$39,"적용 불가")</x:f>
        <x:v>0</x:v>
      </x:c>
      <x:c r="G6" s="44" t="n">
        <x:f>COUNTIFS('전체 조건 목록'!$D$5:$D$39,A6,'전체 조건 목록'!$E$5:$E$39,"&lt;&gt;없음")</x:f>
        <x:v>0</x:v>
      </x:c>
    </x:row>
    <x:row r="7" ht="18.75" customHeight="1">
      <x:c r="A7" s="32" t="str">
        <x:v>412-512</x:v>
      </x:c>
      <x:c r="B7" s="44" t="n">
        <x:f>COUNTIF('전체 조건 목록'!$D$5:$D$39,A7)</x:f>
        <x:v>2</x:v>
      </x:c>
      <x:c r="C7" s="44" t="n">
        <x:f>COUNTIFS('전체 조건 목록'!$D$5:$D$39,A7,'전체 조건 목록'!$B$5:$B$39,"사용 가능")</x:f>
        <x:v>0</x:v>
      </x:c>
      <x:c r="D7" s="44" t="n">
        <x:f>COUNTIFS('전체 조건 목록'!$D$5:$D$39,A7,'전체 조건 목록'!$B$5:$B$39,"관리자 확인")</x:f>
        <x:v>2</x:v>
      </x:c>
      <x:c r="E7" s="44" t="n">
        <x:f>COUNTIFS('전체 조건 목록'!$D$5:$D$39,A7,'전체 조건 목록'!$B$5:$B$39,"중복 사용중지")</x:f>
        <x:v>0</x:v>
      </x:c>
      <x:c r="F7" s="44" t="n">
        <x:f>COUNTIFS('전체 조건 목록'!$D$5:$D$39,A7,'전체 조건 목록'!$B$5:$B$39,"적용 불가")</x:f>
        <x:v>0</x:v>
      </x:c>
      <x:c r="G7" s="44" t="n">
        <x:f>COUNTIFS('전체 조건 목록'!$D$5:$D$39,A7,'전체 조건 목록'!$E$5:$E$39,"&lt;&gt;없음")</x:f>
        <x:v>0</x:v>
      </x:c>
    </x:row>
    <x:row r="8" ht="18.75" customHeight="1">
      <x:c r="A8" s="32" t="str">
        <x:v>413-512</x:v>
      </x:c>
      <x:c r="B8" s="44" t="n">
        <x:f>COUNTIF('전체 조건 목록'!$D$5:$D$39,A8)</x:f>
        <x:v>2</x:v>
      </x:c>
      <x:c r="C8" s="44" t="n">
        <x:f>COUNTIFS('전체 조건 목록'!$D$5:$D$39,A8,'전체 조건 목록'!$B$5:$B$39,"사용 가능")</x:f>
        <x:v>0</x:v>
      </x:c>
      <x:c r="D8" s="44" t="n">
        <x:f>COUNTIFS('전체 조건 목록'!$D$5:$D$39,A8,'전체 조건 목록'!$B$5:$B$39,"관리자 확인")</x:f>
        <x:v>2</x:v>
      </x:c>
      <x:c r="E8" s="44" t="n">
        <x:f>COUNTIFS('전체 조건 목록'!$D$5:$D$39,A8,'전체 조건 목록'!$B$5:$B$39,"중복 사용중지")</x:f>
        <x:v>0</x:v>
      </x:c>
      <x:c r="F8" s="44" t="n">
        <x:f>COUNTIFS('전체 조건 목록'!$D$5:$D$39,A8,'전체 조건 목록'!$B$5:$B$39,"적용 불가")</x:f>
        <x:v>0</x:v>
      </x:c>
      <x:c r="G8" s="44" t="n">
        <x:f>COUNTIFS('전체 조건 목록'!$D$5:$D$39,A8,'전체 조건 목록'!$E$5:$E$39,"&lt;&gt;없음")</x:f>
        <x:v>0</x:v>
      </x:c>
    </x:row>
    <x:row r="9" ht="18.75" customHeight="1">
      <x:c r="A9" s="32" t="str">
        <x:v>413-513</x:v>
      </x:c>
      <x:c r="B9" s="44" t="n">
        <x:f>COUNTIF('전체 조건 목록'!$D$5:$D$39,A9)</x:f>
        <x:v>8</x:v>
      </x:c>
      <x:c r="C9" s="44" t="n">
        <x:f>COUNTIFS('전체 조건 목록'!$D$5:$D$39,A9,'전체 조건 목록'!$B$5:$B$39,"사용 가능")</x:f>
        <x:v>2</x:v>
      </x:c>
      <x:c r="D9" s="44" t="n">
        <x:f>COUNTIFS('전체 조건 목록'!$D$5:$D$39,A9,'전체 조건 목록'!$B$5:$B$39,"관리자 확인")</x:f>
        <x:v>4</x:v>
      </x:c>
      <x:c r="E9" s="44" t="n">
        <x:f>COUNTIFS('전체 조건 목록'!$D$5:$D$39,A9,'전체 조건 목록'!$B$5:$B$39,"중복 사용중지")</x:f>
        <x:v>2</x:v>
      </x:c>
      <x:c r="F9" s="44" t="n">
        <x:f>COUNTIFS('전체 조건 목록'!$D$5:$D$39,A9,'전체 조건 목록'!$B$5:$B$39,"적용 불가")</x:f>
        <x:v>0</x:v>
      </x:c>
      <x:c r="G9" s="44" t="n">
        <x:f>COUNTIFS('전체 조건 목록'!$D$5:$D$39,A9,'전체 조건 목록'!$E$5:$E$39,"&lt;&gt;없음")</x:f>
        <x:v>3</x:v>
      </x:c>
    </x:row>
    <x:row r="10" ht="18.75" customHeight="1">
      <x:c r="A10" s="32" t="str">
        <x:v>413-514</x:v>
      </x:c>
      <x:c r="B10" s="44" t="n">
        <x:f>COUNTIF('전체 조건 목록'!$D$5:$D$39,A10)</x:f>
        <x:v>4</x:v>
      </x:c>
      <x:c r="C10" s="44" t="n">
        <x:f>COUNTIFS('전체 조건 목록'!$D$5:$D$39,A10,'전체 조건 목록'!$B$5:$B$39,"사용 가능")</x:f>
        <x:v>1</x:v>
      </x:c>
      <x:c r="D10" s="44" t="n">
        <x:f>COUNTIFS('전체 조건 목록'!$D$5:$D$39,A10,'전체 조건 목록'!$B$5:$B$39,"관리자 확인")</x:f>
        <x:v>2</x:v>
      </x:c>
      <x:c r="E10" s="44" t="n">
        <x:f>COUNTIFS('전체 조건 목록'!$D$5:$D$39,A10,'전체 조건 목록'!$B$5:$B$39,"중복 사용중지")</x:f>
        <x:v>1</x:v>
      </x:c>
      <x:c r="F10" s="44" t="n">
        <x:f>COUNTIFS('전체 조건 목록'!$D$5:$D$39,A10,'전체 조건 목록'!$B$5:$B$39,"적용 불가")</x:f>
        <x:v>0</x:v>
      </x:c>
      <x:c r="G10" s="44" t="n">
        <x:f>COUNTIFS('전체 조건 목록'!$D$5:$D$39,A10,'전체 조건 목록'!$E$5:$E$39,"&lt;&gt;없음")</x:f>
        <x:v>1</x:v>
      </x:c>
    </x:row>
    <x:row r="11" ht="18.75" customHeight="1">
      <x:c r="A11" s="32" t="str">
        <x:v>414-514</x:v>
      </x:c>
      <x:c r="B11" s="44" t="n">
        <x:f>COUNTIF('전체 조건 목록'!$D$5:$D$39,A11)</x:f>
        <x:v>1</x:v>
      </x:c>
      <x:c r="C11" s="44" t="n">
        <x:f>COUNTIFS('전체 조건 목록'!$D$5:$D$39,A11,'전체 조건 목록'!$B$5:$B$39,"사용 가능")</x:f>
        <x:v>0</x:v>
      </x:c>
      <x:c r="D11" s="44" t="n">
        <x:f>COUNTIFS('전체 조건 목록'!$D$5:$D$39,A11,'전체 조건 목록'!$B$5:$B$39,"관리자 확인")</x:f>
        <x:v>1</x:v>
      </x:c>
      <x:c r="E11" s="44" t="n">
        <x:f>COUNTIFS('전체 조건 목록'!$D$5:$D$39,A11,'전체 조건 목록'!$B$5:$B$39,"중복 사용중지")</x:f>
        <x:v>0</x:v>
      </x:c>
      <x:c r="F11" s="44" t="n">
        <x:f>COUNTIFS('전체 조건 목록'!$D$5:$D$39,A11,'전체 조건 목록'!$B$5:$B$39,"적용 불가")</x:f>
        <x:v>0</x:v>
      </x:c>
      <x:c r="G11" s="44" t="n">
        <x:f>COUNTIFS('전체 조건 목록'!$D$5:$D$39,A11,'전체 조건 목록'!$E$5:$E$39,"&lt;&gt;없음")</x:f>
        <x:v>1</x:v>
      </x:c>
    </x:row>
    <x:row r="12" ht="18.75" customHeight="1">
      <x:c r="A12" s="32" t="str">
        <x:v>414-515</x:v>
      </x:c>
      <x:c r="B12" s="44" t="n">
        <x:f>COUNTIF('전체 조건 목록'!$D$5:$D$39,A12)</x:f>
        <x:v>3</x:v>
      </x:c>
      <x:c r="C12" s="44" t="n">
        <x:f>COUNTIFS('전체 조건 목록'!$D$5:$D$39,A12,'전체 조건 목록'!$B$5:$B$39,"사용 가능")</x:f>
        <x:v>0</x:v>
      </x:c>
      <x:c r="D12" s="44" t="n">
        <x:f>COUNTIFS('전체 조건 목록'!$D$5:$D$39,A12,'전체 조건 목록'!$B$5:$B$39,"관리자 확인")</x:f>
        <x:v>3</x:v>
      </x:c>
      <x:c r="E12" s="44" t="n">
        <x:f>COUNTIFS('전체 조건 목록'!$D$5:$D$39,A12,'전체 조건 목록'!$B$5:$B$39,"중복 사용중지")</x:f>
        <x:v>0</x:v>
      </x:c>
      <x:c r="F12" s="44" t="n">
        <x:f>COUNTIFS('전체 조건 목록'!$D$5:$D$39,A12,'전체 조건 목록'!$B$5:$B$39,"적용 불가")</x:f>
        <x:v>0</x:v>
      </x:c>
      <x:c r="G12" s="44" t="n">
        <x:f>COUNTIFS('전체 조건 목록'!$D$5:$D$39,A12,'전체 조건 목록'!$E$5:$E$39,"&lt;&gt;없음")</x:f>
        <x:v>0</x:v>
      </x:c>
    </x:row>
    <x:row r="13" ht="18.75" customHeight="1">
      <x:c r="A13" s="32" t="str">
        <x:v>415-515</x:v>
      </x:c>
      <x:c r="B13" s="44" t="n">
        <x:f>COUNTIF('전체 조건 목록'!$D$5:$D$39,A13)</x:f>
        <x:v>3</x:v>
      </x:c>
      <x:c r="C13" s="44" t="n">
        <x:f>COUNTIFS('전체 조건 목록'!$D$5:$D$39,A13,'전체 조건 목록'!$B$5:$B$39,"사용 가능")</x:f>
        <x:v>1</x:v>
      </x:c>
      <x:c r="D13" s="44" t="n">
        <x:f>COUNTIFS('전체 조건 목록'!$D$5:$D$39,A13,'전체 조건 목록'!$B$5:$B$39,"관리자 확인")</x:f>
        <x:v>1</x:v>
      </x:c>
      <x:c r="E13" s="44" t="n">
        <x:f>COUNTIFS('전체 조건 목록'!$D$5:$D$39,A13,'전체 조건 목록'!$B$5:$B$39,"중복 사용중지")</x:f>
        <x:v>0</x:v>
      </x:c>
      <x:c r="F13" s="44" t="n">
        <x:f>COUNTIFS('전체 조건 목록'!$D$5:$D$39,A13,'전체 조건 목록'!$B$5:$B$39,"적용 불가")</x:f>
        <x:v>1</x:v>
      </x:c>
      <x:c r="G13" s="44" t="n">
        <x:f>COUNTIFS('전체 조건 목록'!$D$5:$D$39,A13,'전체 조건 목록'!$E$5:$E$39,"&lt;&gt;없음")</x:f>
        <x:v>0</x:v>
      </x:c>
    </x:row>
    <x:row r="14" ht="18.75" customHeight="1">
      <x:c r="A14" s="32" t="str">
        <x:v>415-516</x:v>
      </x:c>
      <x:c r="B14" s="44" t="n">
        <x:f>COUNTIF('전체 조건 목록'!$D$5:$D$39,A14)</x:f>
        <x:v>7</x:v>
      </x:c>
      <x:c r="C14" s="44" t="n">
        <x:f>COUNTIFS('전체 조건 목록'!$D$5:$D$39,A14,'전체 조건 목록'!$B$5:$B$39,"사용 가능")</x:f>
        <x:v>2</x:v>
      </x:c>
      <x:c r="D14" s="44" t="n">
        <x:f>COUNTIFS('전체 조건 목록'!$D$5:$D$39,A14,'전체 조건 목록'!$B$5:$B$39,"관리자 확인")</x:f>
        <x:v>4</x:v>
      </x:c>
      <x:c r="E14" s="44" t="n">
        <x:f>COUNTIFS('전체 조건 목록'!$D$5:$D$39,A14,'전체 조건 목록'!$B$5:$B$39,"중복 사용중지")</x:f>
        <x:v>0</x:v>
      </x:c>
      <x:c r="F14" s="44" t="n">
        <x:f>COUNTIFS('전체 조건 목록'!$D$5:$D$39,A14,'전체 조건 목록'!$B$5:$B$39,"적용 불가")</x:f>
        <x:v>1</x:v>
      </x:c>
      <x:c r="G14" s="44" t="n">
        <x:f>COUNTIFS('전체 조건 목록'!$D$5:$D$39,A14,'전체 조건 목록'!$E$5:$E$39,"&lt;&gt;없음")</x:f>
        <x:v>4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79f1ac684f1479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0000114440918" hidden="0" customWidth="1"/>
    <x:col min="2" max="2" width="47.5" hidden="0" customWidth="1"/>
    <x:col min="3" max="3" width="47.5" hidden="0" customWidth="1"/>
    <x:col min="4" max="4" width="11.880000114440918" hidden="0" customWidth="1"/>
    <x:col min="5" max="5" width="14.380000114440918" hidden="0" customWidth="1"/>
    <x:col min="6" max="6" width="37.5" hidden="0" customWidth="1"/>
  </x:cols>
  <x:sheetData>
    <x:row r="1" ht="30" customHeight="1">
      <x:c r="A1" s="9" t="str">
        <x:v>심텍 SPS 과거·중복 명칭 별칭 연결</x:v>
      </x:c>
      <x:c r="B1" s="10" t="str">
        <x:v>심텍 SPS 과거·중복 명칭 별칭 연결</x:v>
      </x:c>
      <x:c r="C1" s="10" t="str">
        <x:v>심텍 SPS 과거·중복 명칭 별칭 연결</x:v>
      </x:c>
      <x:c r="D1" s="10" t="str">
        <x:v>심텍 SPS 과거·중복 명칭 별칭 연결</x:v>
      </x:c>
      <x:c r="E1" s="10" t="str">
        <x:v>심텍 SPS 과거·중복 명칭 별칭 연결</x:v>
      </x:c>
      <x:c r="F1" s="11" t="str">
        <x:v>심텍 SPS 과거·중복 명칭 별칭 연결</x:v>
      </x:c>
    </x:row>
    <x:row r="2" ht="21" customHeight="1">
      <x:c r="A2" s="20" t="str">
        <x:v>과거 작업일보의 표기 또는 중복 명칭이 입력되면 아래 대표 Trim P/G로 연결됩니다.</x:v>
      </x:c>
      <x:c r="B2" s="21" t="str">
        <x:v>과거 작업일보의 표기 또는 중복 명칭이 입력되면 아래 대표 Trim P/G로 연결됩니다.</x:v>
      </x:c>
      <x:c r="C2" s="21" t="str">
        <x:v>과거 작업일보의 표기 또는 중복 명칭이 입력되면 아래 대표 Trim P/G로 연결됩니다.</x:v>
      </x:c>
      <x:c r="D2" s="21" t="str">
        <x:v>과거 작업일보의 표기 또는 중복 명칭이 입력되면 아래 대표 Trim P/G로 연결됩니다.</x:v>
      </x:c>
      <x:c r="E2" s="21" t="str">
        <x:v>과거 작업일보의 표기 또는 중복 명칭이 입력되면 아래 대표 Trim P/G로 연결됩니다.</x:v>
      </x:c>
      <x:c r="F2" s="22" t="str">
        <x:v>과거 작업일보의 표기 또는 중복 명칭이 입력되면 아래 대표 Trim P/G로 연결됩니다.</x:v>
      </x:c>
    </x:row>
    <x:row r="4" ht="22.5" customHeight="1">
      <x:c r="A4" s="28" t="str">
        <x:v>번호</x:v>
      </x:c>
      <x:c r="B4" s="28" t="str">
        <x:v>과거·중복 명칭</x:v>
      </x:c>
      <x:c r="C4" s="28" t="str">
        <x:v>대표 Trim P/G</x:v>
      </x:c>
      <x:c r="D4" s="28" t="str">
        <x:v>대표 사이즈</x:v>
      </x:c>
      <x:c r="E4" s="28" t="str">
        <x:v>대표 상태</x:v>
      </x:c>
      <x:c r="F4" s="28" t="str">
        <x:v>연결 사유</x:v>
      </x:c>
    </x:row>
    <x:row r="5" ht="18.75" customHeight="1">
      <x:c r="A5" s="32" t="n">
        <x:v>1</x:v>
      </x:c>
      <x:c r="B5" s="31" t="str">
        <x:v>ST-03L-500(415-515)_2R</x:v>
      </x:c>
      <x:c r="C5" s="31" t="str">
        <x:v>ST-03L-500(415-515)2R</x:v>
      </x:c>
      <x:c r="D5" s="32" t="str">
        <x:v>415-515</x:v>
      </x:c>
      <x:c r="E5" s="32" t="str">
        <x:v>사용 가능</x:v>
      </x:c>
      <x:c r="F5" s="35" t="str">
        <x:v>실제 TXT 파일명 언더바 표기 별칭</x:v>
      </x:c>
    </x:row>
    <x:row r="6" ht="18.75" customHeight="1">
      <x:c r="A6" s="32" t="n">
        <x:v>2</x:v>
      </x:c>
      <x:c r="B6" s="31" t="str">
        <x:v>ST-03L2-500(415-515)_2R</x:v>
      </x:c>
      <x:c r="C6" s="31" t="str">
        <x:v>ST-03L-500(415-515)2R</x:v>
      </x:c>
      <x:c r="D6" s="32" t="str">
        <x:v>415-515</x:v>
      </x:c>
      <x:c r="E6" s="32" t="str">
        <x:v>사용 가능</x:v>
      </x:c>
      <x:c r="F6" s="35" t="str">
        <x:v>과거 작업일보 L2 오타</x:v>
      </x:c>
    </x:row>
    <x:row r="7" ht="18.75" customHeight="1">
      <x:c r="A7" s="32" t="n">
        <x:v>3</x:v>
      </x:c>
      <x:c r="B7" s="31" t="str">
        <x:v>ST-03L2-500(415-515)2R</x:v>
      </x:c>
      <x:c r="C7" s="31" t="str">
        <x:v>ST-03L-500(415-515)2R</x:v>
      </x:c>
      <x:c r="D7" s="32" t="str">
        <x:v>415-515</x:v>
      </x:c>
      <x:c r="E7" s="32" t="str">
        <x:v>사용 가능</x:v>
      </x:c>
      <x:c r="F7" s="35" t="str">
        <x:v>과거 작업일보 L2 오타</x:v>
      </x:c>
    </x:row>
    <x:row r="8" ht="18.75" customHeight="1">
      <x:c r="A8" s="32" t="n">
        <x:v>4</x:v>
      </x:c>
      <x:c r="B8" s="31" t="str">
        <x:v>ST-03R-500(413-514)2R</x:v>
      </x:c>
      <x:c r="C8" s="31" t="str">
        <x:v>ST-03R-500(413-514)_2R</x:v>
      </x:c>
      <x:c r="D8" s="32" t="str">
        <x:v>413-514</x:v>
      </x:c>
      <x:c r="E8" s="32" t="str">
        <x:v>사용 가능</x:v>
      </x:c>
      <x:c r="F8" s="35" t="str">
        <x:v>중복 TXT 대표 파일</x:v>
      </x:c>
    </x:row>
    <x:row r="9" ht="18.75" customHeight="1">
      <x:c r="A9" s="32" t="n">
        <x:v>5</x:v>
      </x:c>
      <x:c r="B9" s="31" t="str">
        <x:v>ST-06--500+10(413-513)2R</x:v>
      </x:c>
      <x:c r="C9" s="31" t="str">
        <x:v>ST-06-1-500+10(413-513)2R</x:v>
      </x:c>
      <x:c r="D9" s="32" t="str">
        <x:v>413-513</x:v>
      </x:c>
      <x:c r="E9" s="32" t="str">
        <x:v>사용 가능</x:v>
      </x:c>
      <x:c r="F9" s="35" t="str">
        <x:v>중복 TXT 대표 파일</x:v>
      </x:c>
    </x:row>
    <x:row r="10" ht="18.75" customHeight="1">
      <x:c r="A10" s="32" t="n">
        <x:v>6</x:v>
      </x:c>
      <x:c r="B10" s="31" t="str">
        <x:v>ST-06-1-500(+10)(413-513)2R</x:v>
      </x:c>
      <x:c r="C10" s="31" t="str">
        <x:v>ST-06-1-500+10(413-513)2R</x:v>
      </x:c>
      <x:c r="D10" s="32" t="str">
        <x:v>413-513</x:v>
      </x:c>
      <x:c r="E10" s="32" t="str">
        <x:v>사용 가능</x:v>
      </x:c>
      <x:c r="F10" s="35" t="str">
        <x:v>과거 작업일보 괄호 표기</x:v>
      </x:c>
    </x:row>
    <x:row r="11" ht="18.75" customHeight="1">
      <x:c r="A11" s="32" t="n">
        <x:v>7</x:v>
      </x:c>
      <x:c r="B11" s="31" t="str">
        <x:v>ST-3Layer-500+2Hole(413-513)_2R_2회</x:v>
      </x:c>
      <x:c r="C11" s="31" t="str">
        <x:v>ST-3Layer-500+2Hole(413-513)_2R_2</x:v>
      </x:c>
      <x:c r="D11" s="32" t="str">
        <x:v>413-513</x:v>
      </x:c>
      <x:c r="E11" s="32" t="str">
        <x:v>사용 가능</x:v>
      </x:c>
      <x:c r="F11" s="35" t="str">
        <x:v>중복 TXT 대표 파일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e7301ec0ced9423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630000114440918" hidden="0" customWidth="1"/>
    <x:col min="2" max="2" width="45" hidden="0" customWidth="1"/>
    <x:col min="3" max="3" width="17.5" hidden="0" customWidth="1"/>
    <x:col min="4" max="4" width="45" hidden="0" customWidth="1"/>
  </x:cols>
  <x:sheetData>
    <x:row r="1" ht="30" customHeight="1">
      <x:c r="A1" s="9" t="str">
        <x:v>심텍 SPS 조건 상태 설명</x:v>
      </x:c>
      <x:c r="B1" s="10" t="str">
        <x:v>심텍 SPS 조건 상태 설명</x:v>
      </x:c>
      <x:c r="C1" s="10" t="str">
        <x:v>심텍 SPS 조건 상태 설명</x:v>
      </x:c>
      <x:c r="D1" s="11" t="str">
        <x:v>심텍 SPS 조건 상태 설명</x:v>
      </x:c>
    </x:row>
    <x:row r="2" ht="21" customHeight="1">
      <x:c r="A2" s="20" t="str">
        <x:v>조건을 삭제하거나 수정한 파일이 아니라, 현재 V5 카탈로그의 상태를 읽기 쉽게 설명한 시트입니다.</x:v>
      </x:c>
      <x:c r="B2" s="21" t="str">
        <x:v>조건을 삭제하거나 수정한 파일이 아니라, 현재 V5 카탈로그의 상태를 읽기 쉽게 설명한 시트입니다.</x:v>
      </x:c>
      <x:c r="C2" s="21" t="str">
        <x:v>조건을 삭제하거나 수정한 파일이 아니라, 현재 V5 카탈로그의 상태를 읽기 쉽게 설명한 시트입니다.</x:v>
      </x:c>
      <x:c r="D2" s="22" t="str">
        <x:v>조건을 삭제하거나 수정한 파일이 아니라, 현재 V5 카탈로그의 상태를 읽기 쉽게 설명한 시트입니다.</x:v>
      </x:c>
    </x:row>
    <x:row r="4" ht="22.5" customHeight="1">
      <x:c r="A4" s="28" t="str">
        <x:v>상태</x:v>
      </x:c>
      <x:c r="B4" s="28" t="str">
        <x:v>뜻</x:v>
      </x:c>
      <x:c r="C4" s="28" t="str">
        <x:v>프로그램 선택</x:v>
      </x:c>
      <x:c r="D4" s="28" t="str">
        <x:v>품질관리 확인사항</x:v>
      </x:c>
    </x:row>
    <x:row r="5" ht="33.75" customHeight="1">
      <x:c r="A5" s="39" t="str">
        <x:v>사용 가능</x:v>
      </x:c>
      <x:c r="B5" s="35" t="str">
        <x:v>실제 P/G 파일과 사용 이력이 확인된 정상 후보</x:v>
      </x:c>
      <x:c r="C5" s="35" t="str">
        <x:v>선택 가능</x:v>
      </x:c>
      <x:c r="D5" s="35" t="str">
        <x:v>필수 사이즈와 SHIFT가 일치하는지 최종 확인</x:v>
      </x:c>
    </x:row>
    <x:row r="6" ht="33.75" customHeight="1">
      <x:c r="A6" s="37" t="str">
        <x:v>관리자 확인</x:v>
      </x:c>
      <x:c r="B6" s="35" t="str">
        <x:v>파일은 있으나 사용 이력·전용 조건 등 추가 판단 필요</x:v>
      </x:c>
      <x:c r="C6" s="35" t="str">
        <x:v>자동 선택 금지</x:v>
      </x:c>
      <x:c r="D6" s="35" t="str">
        <x:v>조장 또는 관리자가 조건 근거 확인</x:v>
      </x:c>
    </x:row>
    <x:row r="7" ht="33.75" customHeight="1">
      <x:c r="A7" s="41" t="str">
        <x:v>중복 사용중지</x:v>
      </x:c>
      <x:c r="B7" s="35" t="str">
        <x:v>대표 파일로 통합되어 목록에서 사용을 중지한 중복 명칭</x:v>
      </x:c>
      <x:c r="C7" s="35" t="str">
        <x:v>선택 불가</x:v>
      </x:c>
      <x:c r="D7" s="35" t="str">
        <x:v>과거 명칭은 별칭 시트의 대표 파일로 연결</x:v>
      </x:c>
    </x:row>
    <x:row r="8" ht="33.75" customHeight="1">
      <x:c r="A8" s="43" t="str">
        <x:v>적용 불가</x:v>
      </x:c>
      <x:c r="B8" s="35" t="str">
        <x:v>실제 P/G 파일 미확인 또는 차단 조건</x:v>
      </x:c>
      <x:c r="C8" s="35" t="str">
        <x:v>선택 불가</x:v>
      </x:c>
      <x:c r="D8" s="35" t="str">
        <x:v>실제 파일과 조건을 확인한 뒤에만 재등록</x:v>
      </x:c>
    </x:row>
  </x:sheetData>
  <x:mergeCells>
    <x:mergeCell ref="A1:D1"/>
    <x:mergeCell ref="A2:D2"/>
  </x:mergeCells>
  <x:pageMargins left="0.7" right="0.7" top="0.75" bottom="0.75" header="0.3" footer="0.3"/>
</x:worksheet>
</file>