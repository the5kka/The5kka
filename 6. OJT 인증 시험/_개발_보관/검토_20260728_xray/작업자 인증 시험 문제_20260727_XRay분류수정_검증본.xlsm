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QC\8. Codex\6. OJT 인증 시험\"/>
    </mc:Choice>
  </mc:AlternateContent>
  <xr:revisionPtr revIDLastSave="0" documentId="13_ncr:1_{B5256599-96BB-4607-BBD8-5AD136FEE2E3}" xr6:coauthVersionLast="47" xr6:coauthVersionMax="47" xr10:uidLastSave="{00000000-0000-0000-0000-000000000000}"/>
  <bookViews>
    <workbookView xWindow="28680" yWindow="-120" windowWidth="29040" windowHeight="15720" tabRatio="953" firstSheet="4" activeTab="4" xr2:uid="{00000000-000D-0000-FFFF-FFFF00000000}"/>
  </bookViews>
  <sheets>
    <sheet name="시험 SETTING" sheetId="12" r:id="rId1"/>
    <sheet name="시험지" sheetId="15" r:id="rId2"/>
    <sheet name="답안지" sheetId="17" r:id="rId3"/>
    <sheet name="신입용 (공통)" sheetId="49" r:id="rId4"/>
    <sheet name="TRIM 일반용" sheetId="19" r:id="rId5"/>
    <sheet name="TRIM 전장용" sheetId="8" r:id="rId6"/>
    <sheet name="Dualdetach Carrierdetach 일반용" sheetId="21" r:id="rId7"/>
    <sheet name="Dualdetach Carrierdetach 전장용" sheetId="22" r:id="rId8"/>
    <sheet name="ITS 각인 일반용" sheetId="24" r:id="rId9"/>
    <sheet name="ITS 각인 전장용" sheetId="23" r:id="rId10"/>
    <sheet name="X-Ray 일반용" sheetId="26" r:id="rId11"/>
    <sheet name="X-Ray 전장용" sheetId="25" r:id="rId12"/>
    <sheet name="수입검사 일반용" sheetId="28" r:id="rId13"/>
    <sheet name="수입검사 전장용" sheetId="29" r:id="rId14"/>
    <sheet name="출하검사 일반용" sheetId="30" r:id="rId15"/>
    <sheet name="출하검사 전장용" sheetId="31" r:id="rId16"/>
    <sheet name="Brown OXIDE 일반용" sheetId="32" r:id="rId17"/>
    <sheet name="Brown OXIDE 전장용" sheetId="35" r:id="rId18"/>
    <sheet name="CZ 전처리 일반용 " sheetId="37" r:id="rId19"/>
    <sheet name="CZ 전처리 전장용" sheetId="36" r:id="rId20"/>
    <sheet name="Lay-up 일반용" sheetId="38" r:id="rId21"/>
    <sheet name="Lay-up 전장용" sheetId="39" r:id="rId22"/>
    <sheet name="PRESS 일반용" sheetId="40" r:id="rId23"/>
    <sheet name="PRESS 전장용" sheetId="41" r:id="rId24"/>
    <sheet name="액분석 일반용 " sheetId="42" r:id="rId25"/>
    <sheet name="액분석 전장용" sheetId="43" r:id="rId26"/>
    <sheet name="노바본드 일반용" sheetId="44" r:id="rId27"/>
    <sheet name="노바본드 전장용" sheetId="46" r:id="rId28"/>
    <sheet name="수직흑화 일반용" sheetId="47" r:id="rId29"/>
    <sheet name="수직흑화 전장용" sheetId="48" r:id="rId30"/>
  </sheets>
  <definedNames>
    <definedName name="_xlpm.no" hidden="1" xlm="1">#NAME?</definedName>
    <definedName name="_xlpm.q" hidden="1" xlm="1">#NAME?</definedName>
    <definedName name="_xlpm.t" hidden="1" xlm="1">#NAME?</definedName>
    <definedName name="_xlnm.Print_Area" localSheetId="16">'Brown OXIDE 일반용'!$B$2:$N$37</definedName>
    <definedName name="_xlnm.Print_Area" localSheetId="17">'Brown OXIDE 전장용'!$B$2:$N$33</definedName>
    <definedName name="_xlnm.Print_Area" localSheetId="18">'CZ 전처리 일반용 '!$B$2:$N$48</definedName>
    <definedName name="_xlnm.Print_Area" localSheetId="19">'CZ 전처리 전장용'!$B$2:$N$48</definedName>
    <definedName name="_xlnm.Print_Area" localSheetId="6">'Dualdetach Carrierdetach 일반용'!$B$2:$N$34</definedName>
    <definedName name="_xlnm.Print_Area" localSheetId="7">'Dualdetach Carrierdetach 전장용'!$B$2:$N$34</definedName>
    <definedName name="_xlnm.Print_Area" localSheetId="8">'ITS 각인 일반용'!$B$2:$N$35</definedName>
    <definedName name="_xlnm.Print_Area" localSheetId="9">'ITS 각인 전장용'!$B$2:$N$32</definedName>
    <definedName name="_xlnm.Print_Area" localSheetId="20">'Lay-up 일반용'!$B$2:$N$48</definedName>
    <definedName name="_xlnm.Print_Area" localSheetId="21">'Lay-up 전장용'!$B$2:$N$48</definedName>
    <definedName name="_xlnm.Print_Area" localSheetId="22">'PRESS 일반용'!$B$2:$N$44</definedName>
    <definedName name="_xlnm.Print_Area" localSheetId="23">'PRESS 전장용'!$B$2:$N$31</definedName>
    <definedName name="_xlnm.Print_Area" localSheetId="4">'TRIM 일반용'!$B$2:$N$37</definedName>
    <definedName name="_xlnm.Print_Area" localSheetId="5">'TRIM 전장용'!$B$2:$N$40</definedName>
    <definedName name="_xlnm.Print_Area" localSheetId="10">'X-Ray 일반용'!$B$2:$N$36</definedName>
    <definedName name="_xlnm.Print_Area" localSheetId="11">'X-Ray 전장용'!$B$2:$N$32</definedName>
    <definedName name="_xlnm.Print_Area" localSheetId="26">'노바본드 일반용'!$B$2:$N$32</definedName>
    <definedName name="_xlnm.Print_Area" localSheetId="27">'노바본드 전장용'!$B$2:$N$32</definedName>
    <definedName name="_xlnm.Print_Area" localSheetId="12">'수입검사 일반용'!$B$2:$N$35</definedName>
    <definedName name="_xlnm.Print_Area" localSheetId="13">'수입검사 전장용'!$B$2:$N$32</definedName>
    <definedName name="_xlnm.Print_Area" localSheetId="28">'수직흑화 일반용'!$B$2:$N$32</definedName>
    <definedName name="_xlnm.Print_Area" localSheetId="29">'수직흑화 전장용'!$B$2:$N$32</definedName>
    <definedName name="_xlnm.Print_Area" localSheetId="0">'시험 SETTING'!$A$1:$I$7</definedName>
    <definedName name="_xlnm.Print_Area" localSheetId="1">시험지!$B$2:$K$55</definedName>
    <definedName name="_xlnm.Print_Area" localSheetId="3">'신입용 (공통)'!$B$2:$N$31</definedName>
    <definedName name="_xlnm.Print_Area" localSheetId="24">'액분석 일반용 '!$B$2:$N$32</definedName>
    <definedName name="_xlnm.Print_Area" localSheetId="25">'액분석 전장용'!$B$2:$N$32</definedName>
    <definedName name="_xlnm.Print_Area" localSheetId="14">'출하검사 일반용'!$B$2:$N$35</definedName>
    <definedName name="_xlnm.Print_Area" localSheetId="15">'출하검사 전장용'!$B$2:$N$39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30" i="19" l="1"/>
  <c r="C39" i="19"/>
  <c r="C38" i="19"/>
  <c r="C35" i="49"/>
  <c r="C34" i="49"/>
  <c r="C33" i="49"/>
  <c r="C32" i="49"/>
  <c r="C13" i="49"/>
  <c r="C30" i="43"/>
  <c r="C27" i="42"/>
  <c r="C6" i="49" l="1"/>
  <c r="C31" i="49"/>
  <c r="C30" i="49"/>
  <c r="C29" i="49"/>
  <c r="C28" i="49"/>
  <c r="C27" i="49"/>
  <c r="C26" i="49"/>
  <c r="C25" i="49"/>
  <c r="C24" i="49"/>
  <c r="C23" i="49"/>
  <c r="C22" i="49"/>
  <c r="C21" i="49"/>
  <c r="C20" i="49"/>
  <c r="C19" i="49"/>
  <c r="C18" i="49"/>
  <c r="C17" i="49"/>
  <c r="C16" i="49"/>
  <c r="C15" i="49"/>
  <c r="C14" i="49"/>
  <c r="C12" i="49"/>
  <c r="C11" i="49"/>
  <c r="C10" i="49"/>
  <c r="C9" i="49"/>
  <c r="C8" i="49"/>
  <c r="C7" i="49"/>
  <c r="C7" i="48"/>
  <c r="C8" i="48"/>
  <c r="C9" i="48"/>
  <c r="C10" i="48"/>
  <c r="C11" i="48"/>
  <c r="C12" i="48"/>
  <c r="C13" i="48"/>
  <c r="C14" i="48"/>
  <c r="C15" i="48"/>
  <c r="C16" i="48"/>
  <c r="C17" i="48"/>
  <c r="C18" i="48"/>
  <c r="C19" i="48"/>
  <c r="C20" i="48"/>
  <c r="C21" i="48"/>
  <c r="C22" i="48"/>
  <c r="C23" i="48"/>
  <c r="C24" i="48"/>
  <c r="C25" i="48"/>
  <c r="C26" i="48"/>
  <c r="C27" i="48"/>
  <c r="C28" i="48"/>
  <c r="C29" i="48"/>
  <c r="C30" i="48"/>
  <c r="C31" i="48"/>
  <c r="C32" i="48"/>
  <c r="C6" i="48"/>
  <c r="C7" i="47"/>
  <c r="C8" i="47"/>
  <c r="C9" i="47"/>
  <c r="C10" i="47"/>
  <c r="C11" i="47"/>
  <c r="C12" i="47"/>
  <c r="C13" i="47"/>
  <c r="C14" i="47"/>
  <c r="C15" i="47"/>
  <c r="C16" i="47"/>
  <c r="C17" i="47"/>
  <c r="C18" i="47"/>
  <c r="C19" i="47"/>
  <c r="C20" i="47"/>
  <c r="C21" i="47"/>
  <c r="C22" i="47"/>
  <c r="C23" i="47"/>
  <c r="C24" i="47"/>
  <c r="C25" i="47"/>
  <c r="C26" i="47"/>
  <c r="C27" i="47"/>
  <c r="C28" i="47"/>
  <c r="C29" i="47"/>
  <c r="C30" i="47"/>
  <c r="C31" i="47"/>
  <c r="C32" i="47"/>
  <c r="C6" i="47"/>
  <c r="C7" i="46"/>
  <c r="C8" i="46"/>
  <c r="C9" i="46"/>
  <c r="C10" i="46"/>
  <c r="C11" i="46"/>
  <c r="C12" i="46"/>
  <c r="C13" i="46"/>
  <c r="C14" i="46"/>
  <c r="C15" i="46"/>
  <c r="C16" i="46"/>
  <c r="C17" i="46"/>
  <c r="C18" i="46"/>
  <c r="C19" i="46"/>
  <c r="C20" i="46"/>
  <c r="C21" i="46"/>
  <c r="C22" i="46"/>
  <c r="C23" i="46"/>
  <c r="C24" i="46"/>
  <c r="C25" i="46"/>
  <c r="C26" i="46"/>
  <c r="C27" i="46"/>
  <c r="C28" i="46"/>
  <c r="C29" i="46"/>
  <c r="C30" i="46"/>
  <c r="C31" i="46"/>
  <c r="C32" i="46"/>
  <c r="C6" i="46"/>
  <c r="C7" i="44"/>
  <c r="C8" i="44"/>
  <c r="C9" i="44"/>
  <c r="C10" i="44"/>
  <c r="C11" i="44"/>
  <c r="C12" i="44"/>
  <c r="C13" i="44"/>
  <c r="C14" i="44"/>
  <c r="C15" i="44"/>
  <c r="C16" i="44"/>
  <c r="C17" i="44"/>
  <c r="C18" i="44"/>
  <c r="C19" i="44"/>
  <c r="C20" i="44"/>
  <c r="C21" i="44"/>
  <c r="C22" i="44"/>
  <c r="C23" i="44"/>
  <c r="C24" i="44"/>
  <c r="C25" i="44"/>
  <c r="C26" i="44"/>
  <c r="C27" i="44"/>
  <c r="C28" i="44"/>
  <c r="C29" i="44"/>
  <c r="C30" i="44"/>
  <c r="C31" i="44"/>
  <c r="C32" i="44"/>
  <c r="C6" i="44"/>
  <c r="C7" i="43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1" i="43"/>
  <c r="C32" i="43"/>
  <c r="C6" i="43"/>
  <c r="C7" i="42"/>
  <c r="C8" i="42"/>
  <c r="C9" i="42"/>
  <c r="C10" i="42"/>
  <c r="C11" i="42"/>
  <c r="C12" i="42"/>
  <c r="C13" i="42"/>
  <c r="C14" i="42"/>
  <c r="C15" i="42"/>
  <c r="C16" i="42"/>
  <c r="C17" i="42"/>
  <c r="C18" i="42"/>
  <c r="C19" i="42"/>
  <c r="C20" i="42"/>
  <c r="C21" i="42"/>
  <c r="C22" i="42"/>
  <c r="C23" i="42"/>
  <c r="C24" i="42"/>
  <c r="C25" i="42"/>
  <c r="C26" i="42"/>
  <c r="C28" i="42"/>
  <c r="C29" i="42"/>
  <c r="C30" i="42"/>
  <c r="C31" i="42"/>
  <c r="C32" i="42"/>
  <c r="C6" i="42"/>
  <c r="C7" i="41"/>
  <c r="C8" i="41"/>
  <c r="C9" i="41"/>
  <c r="C10" i="41"/>
  <c r="C11" i="41"/>
  <c r="C12" i="41"/>
  <c r="C13" i="41"/>
  <c r="C14" i="41"/>
  <c r="C15" i="41"/>
  <c r="C16" i="41"/>
  <c r="C17" i="41"/>
  <c r="C18" i="41"/>
  <c r="C19" i="41"/>
  <c r="C20" i="41"/>
  <c r="C21" i="41"/>
  <c r="C22" i="41"/>
  <c r="C23" i="41"/>
  <c r="C24" i="41"/>
  <c r="C25" i="41"/>
  <c r="C26" i="41"/>
  <c r="C27" i="41"/>
  <c r="C28" i="41"/>
  <c r="C29" i="41"/>
  <c r="C30" i="41"/>
  <c r="C31" i="41"/>
  <c r="C6" i="41"/>
  <c r="C7" i="40"/>
  <c r="C8" i="40"/>
  <c r="C9" i="40"/>
  <c r="C10" i="40"/>
  <c r="C11" i="40"/>
  <c r="C12" i="40"/>
  <c r="C13" i="40"/>
  <c r="C14" i="40"/>
  <c r="C15" i="40"/>
  <c r="C16" i="40"/>
  <c r="C17" i="40"/>
  <c r="C18" i="40"/>
  <c r="C19" i="40"/>
  <c r="C20" i="40"/>
  <c r="C21" i="40"/>
  <c r="C22" i="40"/>
  <c r="C23" i="40"/>
  <c r="C24" i="40"/>
  <c r="C25" i="40"/>
  <c r="C26" i="40"/>
  <c r="C27" i="40"/>
  <c r="C28" i="40"/>
  <c r="C29" i="40"/>
  <c r="C30" i="40"/>
  <c r="C31" i="40"/>
  <c r="C32" i="40"/>
  <c r="C33" i="40"/>
  <c r="C34" i="40"/>
  <c r="C35" i="40"/>
  <c r="C36" i="40"/>
  <c r="C37" i="40"/>
  <c r="C38" i="40"/>
  <c r="C39" i="40"/>
  <c r="C40" i="40"/>
  <c r="C41" i="40"/>
  <c r="C42" i="40"/>
  <c r="C43" i="40"/>
  <c r="C44" i="40"/>
  <c r="C6" i="40"/>
  <c r="C7" i="39"/>
  <c r="C8" i="39"/>
  <c r="C9" i="39"/>
  <c r="C10" i="39"/>
  <c r="C11" i="39"/>
  <c r="C12" i="39"/>
  <c r="C13" i="39"/>
  <c r="C14" i="39"/>
  <c r="C15" i="39"/>
  <c r="C16" i="39"/>
  <c r="C17" i="39"/>
  <c r="C18" i="39"/>
  <c r="C19" i="39"/>
  <c r="C20" i="39"/>
  <c r="C21" i="39"/>
  <c r="C22" i="39"/>
  <c r="C23" i="39"/>
  <c r="C24" i="39"/>
  <c r="C25" i="39"/>
  <c r="C26" i="39"/>
  <c r="C27" i="39"/>
  <c r="C28" i="39"/>
  <c r="C29" i="39"/>
  <c r="C30" i="39"/>
  <c r="C31" i="39"/>
  <c r="C32" i="39"/>
  <c r="C33" i="39"/>
  <c r="C34" i="39"/>
  <c r="C35" i="39"/>
  <c r="C36" i="39"/>
  <c r="C37" i="39"/>
  <c r="C38" i="39"/>
  <c r="C39" i="39"/>
  <c r="C40" i="39"/>
  <c r="C41" i="39"/>
  <c r="C42" i="39"/>
  <c r="C43" i="39"/>
  <c r="C44" i="39"/>
  <c r="C45" i="39"/>
  <c r="C46" i="39"/>
  <c r="C47" i="39"/>
  <c r="C48" i="39"/>
  <c r="C49" i="39"/>
  <c r="C50" i="39"/>
  <c r="C6" i="39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6" i="38"/>
  <c r="C7" i="36"/>
  <c r="C8" i="36"/>
  <c r="C9" i="36"/>
  <c r="C10" i="36"/>
  <c r="C11" i="36"/>
  <c r="C12" i="36"/>
  <c r="C13" i="36"/>
  <c r="C14" i="36"/>
  <c r="C15" i="36"/>
  <c r="C16" i="36"/>
  <c r="C17" i="36"/>
  <c r="C18" i="36"/>
  <c r="C19" i="36"/>
  <c r="C20" i="36"/>
  <c r="C21" i="36"/>
  <c r="C22" i="36"/>
  <c r="C23" i="36"/>
  <c r="C24" i="36"/>
  <c r="C25" i="36"/>
  <c r="C26" i="36"/>
  <c r="C27" i="36"/>
  <c r="C28" i="36"/>
  <c r="C29" i="36"/>
  <c r="C30" i="36"/>
  <c r="C31" i="36"/>
  <c r="C32" i="36"/>
  <c r="C33" i="36"/>
  <c r="C34" i="36"/>
  <c r="C35" i="36"/>
  <c r="C36" i="36"/>
  <c r="C37" i="36"/>
  <c r="C38" i="36"/>
  <c r="C39" i="36"/>
  <c r="C40" i="36"/>
  <c r="C41" i="36"/>
  <c r="C42" i="36"/>
  <c r="C43" i="36"/>
  <c r="C44" i="36"/>
  <c r="C45" i="36"/>
  <c r="C46" i="36"/>
  <c r="C47" i="36"/>
  <c r="C48" i="36"/>
  <c r="C49" i="36"/>
  <c r="C50" i="36"/>
  <c r="C6" i="36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6" i="37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6" i="35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C21" i="32"/>
  <c r="C22" i="32"/>
  <c r="C23" i="32"/>
  <c r="C24" i="32"/>
  <c r="C25" i="32"/>
  <c r="C26" i="32"/>
  <c r="C27" i="32"/>
  <c r="C28" i="32"/>
  <c r="C29" i="32"/>
  <c r="C30" i="32"/>
  <c r="C31" i="32"/>
  <c r="C32" i="32"/>
  <c r="C33" i="32"/>
  <c r="C34" i="32"/>
  <c r="C35" i="32"/>
  <c r="C36" i="32"/>
  <c r="C37" i="32"/>
  <c r="C6" i="32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26" i="31"/>
  <c r="C27" i="31"/>
  <c r="C28" i="31"/>
  <c r="C29" i="31"/>
  <c r="C30" i="31"/>
  <c r="C31" i="31"/>
  <c r="C32" i="31"/>
  <c r="C33" i="31"/>
  <c r="C34" i="31"/>
  <c r="C35" i="31"/>
  <c r="C36" i="31"/>
  <c r="C37" i="31"/>
  <c r="C38" i="31"/>
  <c r="C39" i="31"/>
  <c r="C6" i="31"/>
  <c r="C7" i="30"/>
  <c r="C8" i="30"/>
  <c r="C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34" i="30"/>
  <c r="C35" i="30"/>
  <c r="C6" i="30"/>
  <c r="C7" i="29"/>
  <c r="C8" i="29"/>
  <c r="C9" i="29"/>
  <c r="C10" i="29"/>
  <c r="C11" i="29"/>
  <c r="C12" i="29"/>
  <c r="C13" i="29"/>
  <c r="C14" i="29"/>
  <c r="C15" i="29"/>
  <c r="C16" i="29"/>
  <c r="C17" i="29"/>
  <c r="C18" i="29"/>
  <c r="C19" i="29"/>
  <c r="C20" i="29"/>
  <c r="C21" i="29"/>
  <c r="C22" i="29"/>
  <c r="C23" i="29"/>
  <c r="C24" i="29"/>
  <c r="C25" i="29"/>
  <c r="C26" i="29"/>
  <c r="C27" i="29"/>
  <c r="C28" i="29"/>
  <c r="C29" i="29"/>
  <c r="C30" i="29"/>
  <c r="C31" i="29"/>
  <c r="C32" i="29"/>
  <c r="C6" i="29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6" i="28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6" i="25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6" i="26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6" i="23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6" i="24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6" i="22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6" i="21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1" i="19"/>
  <c r="C32" i="19"/>
  <c r="C33" i="19"/>
  <c r="C34" i="19"/>
  <c r="C35" i="19"/>
  <c r="C36" i="19"/>
  <c r="C37" i="19"/>
  <c r="C6" i="19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6" i="8"/>
  <c r="B1" i="17"/>
  <c r="H8" i="15" l="1"/>
  <c r="F8" i="15"/>
  <c r="D8" i="15"/>
  <c r="D6" i="15"/>
  <c r="C3" i="15"/>
  <c r="C2" i="15"/>
  <c r="F4" i="12"/>
  <c r="D5" i="12"/>
  <c r="E5" i="12"/>
  <c r="C5" i="12"/>
  <c r="F5" i="12" l="1"/>
</calcChain>
</file>

<file path=xl/sharedStrings.xml><?xml version="1.0" encoding="utf-8"?>
<sst xmlns="http://schemas.openxmlformats.org/spreadsheetml/2006/main" count="3161" uniqueCount="1018">
  <si>
    <t>No</t>
    <phoneticPr fontId="1" type="noConversion"/>
  </si>
  <si>
    <t>문제</t>
    <phoneticPr fontId="1" type="noConversion"/>
  </si>
  <si>
    <t>객관식</t>
    <phoneticPr fontId="1" type="noConversion"/>
  </si>
  <si>
    <t>주관식</t>
    <phoneticPr fontId="1" type="noConversion"/>
  </si>
  <si>
    <t>유형</t>
    <phoneticPr fontId="1" type="noConversion"/>
  </si>
  <si>
    <t>일반</t>
    <phoneticPr fontId="1" type="noConversion"/>
  </si>
  <si>
    <t xml:space="preserve">Dual Detach 공정에서 Cutting Knife 수명은 ? </t>
  </si>
  <si>
    <t>4,500회 이하</t>
  </si>
  <si>
    <t>상판/하판이 붙어 있는 Dual Panel을 분리하는 공정</t>
  </si>
  <si>
    <t>Carrier Detach 공정에서 Carrier동박의 두께는?</t>
  </si>
  <si>
    <t>FMEA</t>
  </si>
  <si>
    <t>4,500회</t>
  </si>
  <si>
    <t>200, 180</t>
  </si>
  <si>
    <t>객관식</t>
    <phoneticPr fontId="1" type="noConversion"/>
  </si>
  <si>
    <t>일반</t>
  </si>
  <si>
    <t>회전, 30㎛</t>
  </si>
  <si>
    <t>주관식</t>
    <phoneticPr fontId="1" type="noConversion"/>
  </si>
  <si>
    <t>Dual Core 제품으로 Burr 제거 시 Core 벌어짐 Risk 있음</t>
  </si>
  <si>
    <t>FMEA</t>
    <phoneticPr fontId="1" type="noConversion"/>
  </si>
  <si>
    <t>답안</t>
    <phoneticPr fontId="1" type="noConversion"/>
  </si>
  <si>
    <t>점수</t>
    <phoneticPr fontId="1" type="noConversion"/>
  </si>
  <si>
    <t>객관식</t>
  </si>
  <si>
    <t>주관식</t>
  </si>
  <si>
    <t>공정명</t>
    <phoneticPr fontId="1" type="noConversion"/>
  </si>
  <si>
    <t>TRIM 전장용</t>
    <phoneticPr fontId="1" type="noConversion"/>
  </si>
  <si>
    <t>공통</t>
    <phoneticPr fontId="1" type="noConversion"/>
  </si>
  <si>
    <t>교육 평가서</t>
    <phoneticPr fontId="1" type="noConversion"/>
  </si>
  <si>
    <t>기 안</t>
    <phoneticPr fontId="1" type="noConversion"/>
  </si>
  <si>
    <t>/</t>
    <phoneticPr fontId="1" type="noConversion"/>
  </si>
  <si>
    <t>결정</t>
    <phoneticPr fontId="1" type="noConversion"/>
  </si>
  <si>
    <t>평가 방법</t>
    <phoneticPr fontId="1" type="noConversion"/>
  </si>
  <si>
    <t>개정 차수</t>
    <phoneticPr fontId="1" type="noConversion"/>
  </si>
  <si>
    <t>TRIM</t>
    <phoneticPr fontId="1" type="noConversion"/>
  </si>
  <si>
    <t>■ 성 명</t>
    <phoneticPr fontId="1" type="noConversion"/>
  </si>
  <si>
    <t>■ 직 무 명</t>
    <phoneticPr fontId="1" type="noConversion"/>
  </si>
  <si>
    <t>제정일</t>
    <phoneticPr fontId="1" type="noConversion"/>
  </si>
  <si>
    <t>유 형</t>
    <phoneticPr fontId="1" type="noConversion"/>
  </si>
  <si>
    <t>부서명</t>
    <phoneticPr fontId="1" type="noConversion"/>
  </si>
  <si>
    <t>후가공</t>
    <phoneticPr fontId="1" type="noConversion"/>
  </si>
  <si>
    <t>평가자</t>
    <phoneticPr fontId="1" type="noConversion"/>
  </si>
  <si>
    <t>평가 일시</t>
    <phoneticPr fontId="1" type="noConversion"/>
  </si>
  <si>
    <t>문제 유형</t>
    <phoneticPr fontId="1" type="noConversion"/>
  </si>
  <si>
    <t>심의</t>
    <phoneticPr fontId="1" type="noConversion"/>
  </si>
  <si>
    <t>시험 평가, 결과 보고서, 직무 평가, 기타 방법 (          )</t>
    <phoneticPr fontId="1" type="noConversion"/>
  </si>
  <si>
    <t>점수 합계</t>
    <phoneticPr fontId="1" type="noConversion"/>
  </si>
  <si>
    <t>문항</t>
    <phoneticPr fontId="1" type="noConversion"/>
  </si>
  <si>
    <t>답안지</t>
    <phoneticPr fontId="1" type="noConversion"/>
  </si>
  <si>
    <t>NO</t>
    <phoneticPr fontId="1" type="noConversion"/>
  </si>
  <si>
    <t>항목</t>
    <phoneticPr fontId="1" type="noConversion"/>
  </si>
  <si>
    <t>직무명</t>
    <phoneticPr fontId="1" type="noConversion"/>
  </si>
  <si>
    <t>김용준</t>
    <phoneticPr fontId="1" type="noConversion"/>
  </si>
  <si>
    <t>2024.12.09</t>
  </si>
  <si>
    <t>전장</t>
  </si>
  <si>
    <t>FMEA</t>
    <phoneticPr fontId="1" type="noConversion"/>
  </si>
  <si>
    <t>33.000 RPM</t>
    <phoneticPr fontId="1" type="noConversion"/>
  </si>
  <si>
    <t>회전, 30㎛</t>
    <phoneticPr fontId="1" type="noConversion"/>
  </si>
  <si>
    <t>이상발생 처리절차(RFC)에서 공통으로 적용되는 절차는 (          ) 중지 후, (          ) 통보하여 통제를 받는다.</t>
    <phoneticPr fontId="1" type="noConversion"/>
  </si>
  <si>
    <t>작업, 리더/조장</t>
    <phoneticPr fontId="1" type="noConversion"/>
  </si>
  <si>
    <t>공통</t>
    <phoneticPr fontId="1" type="noConversion"/>
  </si>
  <si>
    <t>공통</t>
    <phoneticPr fontId="1" type="noConversion"/>
  </si>
  <si>
    <t>공통</t>
    <phoneticPr fontId="1" type="noConversion"/>
  </si>
  <si>
    <t>객관식</t>
    <phoneticPr fontId="1" type="noConversion"/>
  </si>
  <si>
    <t>객관식</t>
    <phoneticPr fontId="1" type="noConversion"/>
  </si>
  <si>
    <t>Trim Spindle 회전 속도 기준은 (               ) RPM 이다.</t>
    <phoneticPr fontId="1" type="noConversion"/>
  </si>
  <si>
    <t>Trim 후 Size 에 대한 자주검사 주기를 쓰시오.</t>
    <phoneticPr fontId="1" type="noConversion"/>
  </si>
  <si>
    <t xml:space="preserve">1PNL/기종 교체 시 </t>
  </si>
  <si>
    <t>Trim 설비의 Run out이란, 스핀들 (               )시 흔들림의 정도이며, 관리 범위는 (               )이내 이다.</t>
    <phoneticPr fontId="1" type="noConversion"/>
  </si>
  <si>
    <t>일반</t>
    <phoneticPr fontId="1" type="noConversion"/>
  </si>
  <si>
    <t xml:space="preserve">이상발생 처리절차(RFC)에서 공통으로 적용되는 절차는 (          ) 중지 후, (          ) 통보하여 통제를 받는다.
</t>
    <phoneticPr fontId="1" type="noConversion"/>
  </si>
  <si>
    <t>주관식</t>
    <phoneticPr fontId="1" type="noConversion"/>
  </si>
  <si>
    <t xml:space="preserve">EPP 제품(03FSP_R , 04FSP_R) 및 03Layer FBGA 제품 Burr 발생 시 Burr 제거 작업을 하지 않는 이유를 쓰시오. </t>
    <phoneticPr fontId="1" type="noConversion"/>
  </si>
  <si>
    <t>TRIM 일반용</t>
    <phoneticPr fontId="1" type="noConversion"/>
  </si>
  <si>
    <t xml:space="preserve"> Trim 설비의 Run out이란, 스핀들 (           )시 흔들림의 정도이며, 관리 범위는 (           )이내 이다. </t>
    <phoneticPr fontId="1" type="noConversion"/>
  </si>
  <si>
    <t>EPP제품(03FSP_R , 04FSP_R) 및 03Layer FBGA 제품 Burr 발생 시 Burr 제거 작업을 하지 않는 이유를 쓰시오.</t>
    <phoneticPr fontId="1" type="noConversion"/>
  </si>
  <si>
    <t>Trim 설비의 Run out이란, 스핀들 (           )시 흔들림의 정도이며, 관리 범위는 (           )이내 이다.</t>
    <phoneticPr fontId="1" type="noConversion"/>
  </si>
  <si>
    <t xml:space="preserve">Dual Detach 공정에서 Cutting Knife 수명은 ? </t>
    <phoneticPr fontId="1" type="noConversion"/>
  </si>
  <si>
    <t xml:space="preserve"> Dual Detach 공정은 무엇을 하는 공정인지 설명을 해보세요?
</t>
    <phoneticPr fontId="1" type="noConversion"/>
  </si>
  <si>
    <t>4500회 이하</t>
    <phoneticPr fontId="1" type="noConversion"/>
  </si>
  <si>
    <t xml:space="preserve">Carrier Detach 공정은 무엇을 하는 공정인지 설명해 보세요? 
</t>
    <phoneticPr fontId="1" type="noConversion"/>
  </si>
  <si>
    <t>Carrier Detach 공정에서 Carrier동박의 두께는?</t>
    <phoneticPr fontId="1" type="noConversion"/>
  </si>
  <si>
    <t xml:space="preserve">줄 (야스리)
</t>
    <phoneticPr fontId="1" type="noConversion"/>
  </si>
  <si>
    <t xml:space="preserve">Carrier Detach 공정에서 동박 제거를 위한 치공구로 맞는 것은?  </t>
    <phoneticPr fontId="1" type="noConversion"/>
  </si>
  <si>
    <t>전장</t>
    <phoneticPr fontId="1" type="noConversion"/>
  </si>
  <si>
    <t xml:space="preserve">Dual Detach 공정은 무엇을 하는 공정인지 설명을 해보세요?
</t>
    <phoneticPr fontId="1" type="noConversion"/>
  </si>
  <si>
    <t xml:space="preserve"> Dual Detach 공정에서 Cutting Knife 수명은 ? </t>
    <phoneticPr fontId="1" type="noConversion"/>
  </si>
  <si>
    <t xml:space="preserve">Carrier Detach 공정은 무엇을 하는 공정인지 설명해 보세요? 
</t>
    <phoneticPr fontId="1" type="noConversion"/>
  </si>
  <si>
    <t>Trim 후 18um 보호 동박인 Carrier 동박 제거 작업</t>
    <phoneticPr fontId="1" type="noConversion"/>
  </si>
  <si>
    <t xml:space="preserve">18 ㎛  </t>
    <phoneticPr fontId="1" type="noConversion"/>
  </si>
  <si>
    <t>Carrier Detach 공정에서 Carrier동박의 두께는?</t>
    <phoneticPr fontId="1" type="noConversion"/>
  </si>
  <si>
    <t>ITS 각인 일반용</t>
    <phoneticPr fontId="1" type="noConversion"/>
  </si>
  <si>
    <t xml:space="preserve">Dual Detach 공정에서 Cutting Knife 수명은?
 </t>
    <phoneticPr fontId="1" type="noConversion"/>
  </si>
  <si>
    <t xml:space="preserve">고온 베이킹 작업 조건 중 STM向 제품에 적용되는 P/G은? </t>
    <phoneticPr fontId="1" type="noConversion"/>
  </si>
  <si>
    <t xml:space="preserve">X-Ray 인식기에 최대 몇 Lot까지 적치가 가능한가? </t>
    <phoneticPr fontId="1" type="noConversion"/>
  </si>
  <si>
    <t>5Lot</t>
    <phoneticPr fontId="1" type="noConversion"/>
  </si>
  <si>
    <t>ITS 각인 Hole 경의 관리 범위는, Top 가공부는 (          )±20㎛ 이고, Bottom 가공부는 (          )±20㎛ 이다.</t>
    <phoneticPr fontId="1" type="noConversion"/>
  </si>
  <si>
    <t>ITS 각인 전장용</t>
  </si>
  <si>
    <t xml:space="preserve">Dual Detach 공정에서 Cutting Knife 수명은? </t>
    <phoneticPr fontId="1" type="noConversion"/>
  </si>
  <si>
    <t>FMEA</t>
    <phoneticPr fontId="1" type="noConversion"/>
  </si>
  <si>
    <t xml:space="preserve">고온 베이킹 작업 조건 중 STM向 제품에 적용되는 P/G은? </t>
    <phoneticPr fontId="1" type="noConversion"/>
  </si>
  <si>
    <r>
      <t xml:space="preserve"> - </t>
    </r>
    <r>
      <rPr>
        <sz val="22"/>
        <color rgb="FF0000FF"/>
        <rFont val="돋움"/>
        <family val="3"/>
        <charset val="129"/>
      </rPr>
      <t>#1번 (조건은 210℃ , 60Min 유지)</t>
    </r>
    <phoneticPr fontId="1" type="noConversion"/>
  </si>
  <si>
    <t xml:space="preserve">4,500회 </t>
    <phoneticPr fontId="1" type="noConversion"/>
  </si>
  <si>
    <t>#1번 (조건은 210℃ , 60Min 유지)</t>
    <phoneticPr fontId="1" type="noConversion"/>
  </si>
  <si>
    <t>X-Ray 인식기에 최대 몇 Lot까지 적치가 가능한가?</t>
    <phoneticPr fontId="1" type="noConversion"/>
  </si>
  <si>
    <t>5Lot</t>
    <phoneticPr fontId="1" type="noConversion"/>
  </si>
  <si>
    <t>ITS 각인 Hole 경의 관리 범위는, Top 가공부는 (          )±20㎛ 이고, Bottom 가공부는 (          )±20㎛ 이다.</t>
    <phoneticPr fontId="1" type="noConversion"/>
  </si>
  <si>
    <t>200, 180</t>
    <phoneticPr fontId="1" type="noConversion"/>
  </si>
  <si>
    <t>PIN 교환 시 펀치가 스트리퍼 안쪽으로 몇 mm 안으로 들어가게 설정하는가?
   ① 0.1mm      ② 0.2mm      ③ 0.3mm      ④ 0.4mm</t>
    <phoneticPr fontId="1" type="noConversion"/>
  </si>
  <si>
    <t>제품 적치 방법으로 알맞은 것은?
   ① 관리 번호 방향이 좌측 하단으로 적치      
   ② Lot 각인 방향이 우측 하단으로 적치
   ③ 층 번호가 좌측 중앙으로 적치              
   ④ 내층 2D Barcode 방향이 상단 중앙으로 적치</t>
    <phoneticPr fontId="1" type="noConversion"/>
  </si>
  <si>
    <t>주관식</t>
    <phoneticPr fontId="1" type="noConversion"/>
  </si>
  <si>
    <t>홀 축소, 정상, 홀 확장</t>
    <phoneticPr fontId="1" type="noConversion"/>
  </si>
  <si>
    <t>Center Base 가공 방식'을 설명하시오.</t>
    <phoneticPr fontId="1" type="noConversion"/>
  </si>
  <si>
    <t>마크 인식 후 거리 값 기준 좌우 보상 가공 방식</t>
    <phoneticPr fontId="1" type="noConversion"/>
  </si>
  <si>
    <t>Mark Center 가공 방식'을 설명하시오.</t>
    <phoneticPr fontId="1" type="noConversion"/>
  </si>
  <si>
    <t>마크 인식 후 마크 중앙 가공 방식</t>
    <phoneticPr fontId="1" type="noConversion"/>
  </si>
  <si>
    <t>MXP-908 홀 경, 홀 편 검사에 대한 자주검사 주기는?</t>
    <phoneticPr fontId="1" type="noConversion"/>
  </si>
  <si>
    <t xml:space="preserve">1PNL/5Lot  </t>
    <phoneticPr fontId="1" type="noConversion"/>
  </si>
  <si>
    <t>FMEA</t>
    <phoneticPr fontId="1" type="noConversion"/>
  </si>
  <si>
    <t>일반</t>
    <phoneticPr fontId="1" type="noConversion"/>
  </si>
  <si>
    <t>이상발생 처리절차(RFC)에서 공통으로 적용되는 절차는 (          ) 중지 후, (          ) 통보하여 통제를 받는다.</t>
    <phoneticPr fontId="1" type="noConversion"/>
  </si>
  <si>
    <t>작업, 리더/조장</t>
    <phoneticPr fontId="1" type="noConversion"/>
  </si>
  <si>
    <t>MXP-908 홀 경, 홀 편 검사에 대한 자주검사 주기는 (               ) 이다.</t>
    <phoneticPr fontId="1" type="noConversion"/>
  </si>
  <si>
    <t>1PNL/5Lot</t>
    <phoneticPr fontId="1" type="noConversion"/>
  </si>
  <si>
    <t>Center Base 가공 방식'을 설명하시오.</t>
    <phoneticPr fontId="1" type="noConversion"/>
  </si>
  <si>
    <t xml:space="preserve">Mark Center 가공 방식'을 설명하시오. </t>
    <phoneticPr fontId="1" type="noConversion"/>
  </si>
  <si>
    <t>마크 인식 후 마크 중앙 가공 방식</t>
    <phoneticPr fontId="1" type="noConversion"/>
  </si>
  <si>
    <t xml:space="preserve">홀 축소, 정상, 홀 확장 </t>
    <phoneticPr fontId="1" type="noConversion"/>
  </si>
  <si>
    <t>수입 검사는 어떤 공정인가?</t>
    <phoneticPr fontId="1" type="noConversion"/>
  </si>
  <si>
    <t>공정에 사용되는 제품 및 원부자재에 대해 입고 검사를 행하는 공정</t>
    <phoneticPr fontId="1" type="noConversion"/>
  </si>
  <si>
    <t>약품 검사는 Lot당 몇 회 이루어지는가?</t>
    <phoneticPr fontId="1" type="noConversion"/>
  </si>
  <si>
    <t>1회</t>
    <phoneticPr fontId="1" type="noConversion"/>
  </si>
  <si>
    <t>샘플 검사를 할 때 재료나 제품의 합격 여부를 결정하는 값은?</t>
    <phoneticPr fontId="1" type="noConversion"/>
  </si>
  <si>
    <t>AQL</t>
    <phoneticPr fontId="1" type="noConversion"/>
  </si>
  <si>
    <t>페놀프탈레인</t>
    <phoneticPr fontId="1" type="noConversion"/>
  </si>
  <si>
    <t>AQL</t>
    <phoneticPr fontId="1" type="noConversion"/>
  </si>
  <si>
    <t>약품 검사는 Lot당 몇 회 이루어지는가?</t>
    <phoneticPr fontId="1" type="noConversion"/>
  </si>
  <si>
    <t>1회</t>
    <phoneticPr fontId="1" type="noConversion"/>
  </si>
  <si>
    <t>다음은 Multiclean S 산도 분석 방법으로, (          ) 안에 알맞은 용어를 쓰시오.
    ① 시료 2㎖를 250㎖ Erlenmeyer Flask에 취한다. 
    ② DI Water 50㎖를 가하여 희석한다.
    ③ (            )지시약 2~3적을 가한다.
    ④ 1.0 N-NaOH(수산화 나트륨)표준용액으로 무색에서 분홍색으로 될 때까지 적정한다.
    ⑤ 계산 : 산도(%) = 1.0 N-NaOH ㎖ 수</t>
    <phoneticPr fontId="1" type="noConversion"/>
  </si>
  <si>
    <t xml:space="preserve">페놀프탈레인 </t>
    <phoneticPr fontId="1" type="noConversion"/>
  </si>
  <si>
    <t xml:space="preserve">외관 검사 항목에 대해 3가지만 쓰시오.
</t>
    <phoneticPr fontId="1" type="noConversion"/>
  </si>
  <si>
    <t xml:space="preserve">  - 홀 Size 검사, Trim Size, 혼입, 수량, 동박 벌어짐</t>
    <phoneticPr fontId="1" type="noConversion"/>
  </si>
  <si>
    <t xml:space="preserve">기판 표면에 동박이 파여 Epoxy가 보이는 불량을 무엇이라고 하는가?   </t>
    <phoneticPr fontId="1" type="noConversion"/>
  </si>
  <si>
    <t>상처</t>
    <phoneticPr fontId="1" type="noConversion"/>
  </si>
  <si>
    <t>특정 Pnl이 수 Point 두께 차이가 발생 될 경우 의심해야 할 불량은 무엇인가?</t>
    <phoneticPr fontId="1" type="noConversion"/>
  </si>
  <si>
    <t>층구성 Miss</t>
    <phoneticPr fontId="1" type="noConversion"/>
  </si>
  <si>
    <t>제품 표면이 이물에 의해 눌리는 불량을 무엇이라고 하는가?</t>
    <phoneticPr fontId="1" type="noConversion"/>
  </si>
  <si>
    <t>타흔</t>
    <phoneticPr fontId="1" type="noConversion"/>
  </si>
  <si>
    <t xml:space="preserve">제품 정보 확인 후 수동 두께 측정 전에 반드시 확인해야 할 사항은 무엇인가?
  </t>
    <phoneticPr fontId="1" type="noConversion"/>
  </si>
  <si>
    <t>0점을 확인한다.</t>
    <phoneticPr fontId="1" type="noConversion"/>
  </si>
  <si>
    <t>X-Ray 일반용</t>
    <phoneticPr fontId="1" type="noConversion"/>
  </si>
  <si>
    <t>X-Ray 전장용</t>
    <phoneticPr fontId="1" type="noConversion"/>
  </si>
  <si>
    <t>수입검사 일반용</t>
    <phoneticPr fontId="1" type="noConversion"/>
  </si>
  <si>
    <t>수입검사 전장용</t>
    <phoneticPr fontId="1" type="noConversion"/>
  </si>
  <si>
    <t>출하검사 일반용</t>
    <phoneticPr fontId="1" type="noConversion"/>
  </si>
  <si>
    <t>외관 검사 항목에 대해 3가지만 쓰시오.</t>
    <phoneticPr fontId="1" type="noConversion"/>
  </si>
  <si>
    <t>홀 Size 검사, Trim Size, 혼입, 수량, 동박 벌어짐</t>
    <phoneticPr fontId="1" type="noConversion"/>
  </si>
  <si>
    <t xml:space="preserve">기판 표면에 동박이 파여 Epoxy가 보이는 불량을 무엇이라고 하는가? </t>
    <phoneticPr fontId="1" type="noConversion"/>
  </si>
  <si>
    <t xml:space="preserve">제품 표면이 이물에 의해 눌리는 불량을 무엇이라고 하는가? </t>
    <phoneticPr fontId="1" type="noConversion"/>
  </si>
  <si>
    <t>타흔</t>
    <phoneticPr fontId="1" type="noConversion"/>
  </si>
  <si>
    <t>제품 정보 확인 후 수동 두께 측정 전에 반드시 확인해야 할 사항은 무엇인가?</t>
    <phoneticPr fontId="1" type="noConversion"/>
  </si>
  <si>
    <t>0점을 확인한다.</t>
    <phoneticPr fontId="1" type="noConversion"/>
  </si>
  <si>
    <t>출하검사 전장용</t>
  </si>
  <si>
    <t>PPG, CU</t>
    <phoneticPr fontId="1" type="noConversion"/>
  </si>
  <si>
    <t>브라운 옥사이드 12시간 ~24시간 미만 라인 비가동 시 검증 절차를 서술하시오.</t>
    <phoneticPr fontId="1" type="noConversion"/>
  </si>
  <si>
    <t>Bronw OXIDE 전장용</t>
    <phoneticPr fontId="1" type="noConversion"/>
  </si>
  <si>
    <t>PPG, CU</t>
    <phoneticPr fontId="1" type="noConversion"/>
  </si>
  <si>
    <t xml:space="preserve">Pre-Dip (ORC-240A) 역할은 무엇인지 작성하시오.
</t>
    <phoneticPr fontId="1" type="noConversion"/>
  </si>
  <si>
    <t>기판 표면을 활성화시켜 OXIDE 반응성을 높여준다.</t>
    <phoneticPr fontId="1" type="noConversion"/>
  </si>
  <si>
    <t>브라운 옥사이드 12시간 ~24시간 미만 라인 비가동 시 검증 절차를 서술하시오.</t>
    <phoneticPr fontId="1" type="noConversion"/>
  </si>
  <si>
    <t>Dummy CCL 매수 : 50매 진행 후 E/R 확인
   → 24시간 미만 비가동 검증에 대하여는 작업일보에 더미 진행 수량 및 확인 E/R 값 기록한다.</t>
    <phoneticPr fontId="1" type="noConversion"/>
  </si>
  <si>
    <t xml:space="preserve"> FMEA</t>
    <phoneticPr fontId="1" type="noConversion"/>
  </si>
  <si>
    <t>CZ 전처리 일반용</t>
  </si>
  <si>
    <t>CZ처리 후 제품 표면 자주검사 항목을 2가지 이상 쓰시오.</t>
    <phoneticPr fontId="1" type="noConversion"/>
  </si>
  <si>
    <t>얼룩, 오염, 이물, 상처</t>
    <phoneticPr fontId="1" type="noConversion"/>
  </si>
  <si>
    <t>CZ 전처리 전구간 롤 구동 상태 점검 주기는?</t>
    <phoneticPr fontId="1" type="noConversion"/>
  </si>
  <si>
    <t>3회/일</t>
    <phoneticPr fontId="1" type="noConversion"/>
  </si>
  <si>
    <t>터널 건조기의 Tack Time은 몇 초인가?</t>
    <phoneticPr fontId="1" type="noConversion"/>
  </si>
  <si>
    <t>23초</t>
    <phoneticPr fontId="1" type="noConversion"/>
  </si>
  <si>
    <t>12시간 이상 Line 비가동 후 가동 시 최소 진행하여야 하는 더미 동판의 수량은?</t>
    <phoneticPr fontId="1" type="noConversion"/>
  </si>
  <si>
    <t xml:space="preserve">30장 </t>
    <phoneticPr fontId="1" type="noConversion"/>
  </si>
  <si>
    <t>CZ 전처리 전장용</t>
  </si>
  <si>
    <t>에칭 약품으로 Cu 표면에 조도(거칠기)를 형성하여 PPG와 Cu와의 밀착력을 향상시키기 위한 공정은 어느 공정인가?</t>
    <phoneticPr fontId="1" type="noConversion"/>
  </si>
  <si>
    <t>CZ 전처리</t>
    <phoneticPr fontId="1" type="noConversion"/>
  </si>
  <si>
    <t>CZ 처리 후 제품 표면 자주검사 항목을 2가지 이상 쓰시오.</t>
    <phoneticPr fontId="1" type="noConversion"/>
  </si>
  <si>
    <t>얼룩, 오염, 이물, 상처</t>
    <phoneticPr fontId="1" type="noConversion"/>
  </si>
  <si>
    <t>CZ 전처리 전구간 롤 구동 상태 점검 주기는?</t>
    <phoneticPr fontId="1" type="noConversion"/>
  </si>
  <si>
    <t>3회/일</t>
    <phoneticPr fontId="1" type="noConversion"/>
  </si>
  <si>
    <t>터널 건조기의 Tack Time은 몇 초인가?</t>
    <phoneticPr fontId="1" type="noConversion"/>
  </si>
  <si>
    <t>12시간 이상 Line 비가동 후 가동 시 최소 진행하여야 하는 더미 동판의 수량은?</t>
    <phoneticPr fontId="1" type="noConversion"/>
  </si>
  <si>
    <t>30장</t>
    <phoneticPr fontId="1" type="noConversion"/>
  </si>
  <si>
    <t>Lay-up 일반용</t>
    <phoneticPr fontId="1" type="noConversion"/>
  </si>
  <si>
    <t>더글라스의 이물질을 제거하기 위해 사용되는 일정한 접착력을 가지는 Pad는 무엇인가?</t>
    <phoneticPr fontId="1" type="noConversion"/>
  </si>
  <si>
    <t>DCR Pad</t>
    <phoneticPr fontId="1" type="noConversion"/>
  </si>
  <si>
    <t>Clean Booth의 습도 SPEC을 쓰시오.</t>
    <phoneticPr fontId="1" type="noConversion"/>
  </si>
  <si>
    <t>습도 : 50% ± 10%</t>
    <phoneticPr fontId="1" type="noConversion"/>
  </si>
  <si>
    <t>PPG 유효기간(보증 기간)은?</t>
    <phoneticPr fontId="1" type="noConversion"/>
  </si>
  <si>
    <t>3개월</t>
    <phoneticPr fontId="1" type="noConversion"/>
  </si>
  <si>
    <t>예비 LAY-UP 작업 중 가장 먼저 확인 해야 할 것은 무엇인가?</t>
    <phoneticPr fontId="1" type="noConversion"/>
  </si>
  <si>
    <t xml:space="preserve">제조지시서 및 전산상 층구성을 확인한다. </t>
    <phoneticPr fontId="1" type="noConversion"/>
  </si>
  <si>
    <t>이물질 제거,테크로스</t>
    <phoneticPr fontId="1" type="noConversion"/>
  </si>
  <si>
    <t>Lay-up 전장용</t>
    <phoneticPr fontId="1" type="noConversion"/>
  </si>
  <si>
    <t>제조지시서 및 전산상 층구성을 확인한다.</t>
    <phoneticPr fontId="1" type="noConversion"/>
  </si>
  <si>
    <t>이물질 제거, 테크로스</t>
    <phoneticPr fontId="1" type="noConversion"/>
  </si>
  <si>
    <t>V-Press 작업 시 SUS Plate 및 제품의 밀림을 방지하기 위해 7mm SUS Plate에 장착되는 Tool은 무엇인가?</t>
    <phoneticPr fontId="1" type="noConversion"/>
  </si>
  <si>
    <t>밀림 방지대</t>
    <phoneticPr fontId="1" type="noConversion"/>
  </si>
  <si>
    <t xml:space="preserve">PPG 유효기간(보증 기간)은?  </t>
    <phoneticPr fontId="1" type="noConversion"/>
  </si>
  <si>
    <t>3개월</t>
    <phoneticPr fontId="1" type="noConversion"/>
  </si>
  <si>
    <t>PRESS 일반용</t>
  </si>
  <si>
    <t>PRESS 레코더의 가로 1칸당 몇 분인가?</t>
    <phoneticPr fontId="1" type="noConversion"/>
  </si>
  <si>
    <t>15분</t>
    <phoneticPr fontId="1" type="noConversion"/>
  </si>
  <si>
    <t>SUS Plate 휨 폐기 기준은 수평 적치 몇 mm이상 인가?</t>
    <phoneticPr fontId="1" type="noConversion"/>
  </si>
  <si>
    <t>5mm</t>
    <phoneticPr fontId="1" type="noConversion"/>
  </si>
  <si>
    <t>Plate Mark'란 무엇인가?</t>
    <phoneticPr fontId="1" type="noConversion"/>
  </si>
  <si>
    <t xml:space="preserve">SUS Plate 표면의 상처가 제품에 전위되어 나타나는 현상 </t>
    <phoneticPr fontId="1" type="noConversion"/>
  </si>
  <si>
    <t>PPG , 가열(온도)</t>
    <phoneticPr fontId="1" type="noConversion"/>
  </si>
  <si>
    <t>PRESS 전장용</t>
  </si>
  <si>
    <t>Dualdetach Carrierdetach 전장용</t>
    <phoneticPr fontId="1" type="noConversion"/>
  </si>
  <si>
    <t>Dualdetach Carrierdetach 일반용</t>
    <phoneticPr fontId="1" type="noConversion"/>
  </si>
  <si>
    <t>SUS Plate 휨 폐기 기준은 수평 적치 몇 mm 이상 인가?</t>
    <phoneticPr fontId="1" type="noConversion"/>
  </si>
  <si>
    <t>PPG , 가열(온도)</t>
    <phoneticPr fontId="1" type="noConversion"/>
  </si>
  <si>
    <t>5mm</t>
    <phoneticPr fontId="1" type="noConversion"/>
  </si>
  <si>
    <t>SUS Plate 표면의 상처가 제품에 전위되어 나타나는 현상</t>
    <phoneticPr fontId="1" type="noConversion"/>
  </si>
  <si>
    <t>FMEA</t>
    <phoneticPr fontId="1" type="noConversion"/>
  </si>
  <si>
    <t>액분석 신입용</t>
    <phoneticPr fontId="1" type="noConversion"/>
  </si>
  <si>
    <t>액분석 전장용</t>
    <phoneticPr fontId="1" type="noConversion"/>
  </si>
  <si>
    <t>수직 흑화 Post Dip 6220 농도 분석 시 사용되는 약품 중 1가지 이상 쓰시오.</t>
    <phoneticPr fontId="1" type="noConversion"/>
  </si>
  <si>
    <t>뮤렉 사이드 지시약, NH4OH, 0.01M CuSO4 용액, 0.5 N-NaOH 용액</t>
    <phoneticPr fontId="1" type="noConversion"/>
  </si>
  <si>
    <t>CZ 전처리 Etching단 CU 농도의 분석 공식을 쓰시오.</t>
    <phoneticPr fontId="1" type="noConversion"/>
  </si>
  <si>
    <t>0.05M EDTA 소비량(㎖) * 1.5885 * 2 (Spec : 25±5g/L )</t>
    <phoneticPr fontId="1" type="noConversion"/>
  </si>
  <si>
    <t xml:space="preserve">FMEA </t>
    <phoneticPr fontId="1" type="noConversion"/>
  </si>
  <si>
    <t>뮤렉 사이드 지시약, NH4OH, 0.01M CuSO4 용액, 0.5 N-NaOH 용액</t>
    <phoneticPr fontId="1" type="noConversion"/>
  </si>
  <si>
    <t>CZ 전처리 Etching단 CU 농도의 분석 공식을 쓰시오.</t>
    <phoneticPr fontId="1" type="noConversion"/>
  </si>
  <si>
    <t>0.05M EDTA 소비량(㎖) * 1.5885 * 2 (Spec : 25±5g/L )</t>
    <phoneticPr fontId="1" type="noConversion"/>
  </si>
  <si>
    <t>CZ 전처리 전구간 롤 구동 상태 점검 주기는?</t>
    <phoneticPr fontId="1" type="noConversion"/>
  </si>
  <si>
    <t>터널 건조기의 Tack Time은 몇 초인가?</t>
    <phoneticPr fontId="1" type="noConversion"/>
  </si>
  <si>
    <t>12시간 이상 Line 비가동 후 가동 시 최소 진행하여야 하는 더미 동판의 수량은?</t>
    <phoneticPr fontId="1" type="noConversion"/>
  </si>
  <si>
    <t>노바본드 일반용</t>
    <phoneticPr fontId="1" type="noConversion"/>
  </si>
  <si>
    <t>에칭 약품으로 Cu 표면에 조도(거칠기)를 형성하여 PPG와 Cu와의 밀착력을 향상시키기 위한 공정은 어느 공정인가?</t>
    <phoneticPr fontId="1" type="noConversion"/>
  </si>
  <si>
    <t>CZ 처리 후 제품 표면 자주검사 항목을 2가지 이상 쓰시오.</t>
    <phoneticPr fontId="1" type="noConversion"/>
  </si>
  <si>
    <t>얼룩, 오염, 이물, 상처</t>
    <phoneticPr fontId="1" type="noConversion"/>
  </si>
  <si>
    <t>3회/일</t>
    <phoneticPr fontId="1" type="noConversion"/>
  </si>
  <si>
    <t>23초</t>
    <phoneticPr fontId="1" type="noConversion"/>
  </si>
  <si>
    <t>30장</t>
    <phoneticPr fontId="1" type="noConversion"/>
  </si>
  <si>
    <t>노바본드 전장용</t>
    <phoneticPr fontId="1" type="noConversion"/>
  </si>
  <si>
    <t>전장</t>
    <phoneticPr fontId="1" type="noConversion"/>
  </si>
  <si>
    <t xml:space="preserve">흑화 처리란 무엇인가? </t>
    <phoneticPr fontId="1" type="noConversion"/>
  </si>
  <si>
    <t>제품 표면을 검게 산화막을 형성하는 과정</t>
    <phoneticPr fontId="1" type="noConversion"/>
  </si>
  <si>
    <t xml:space="preserve">노바본드 처리 후 발생할 수 있는 불량을 3가지 이상 쓰시오. </t>
    <phoneticPr fontId="1" type="noConversion"/>
  </si>
  <si>
    <t>기판파손, 잔동, 액튐, 스크라치, 미흑화</t>
    <phoneticPr fontId="1" type="noConversion"/>
  </si>
  <si>
    <t xml:space="preserve">수직 1라인 Rack 투입 간격은 몇 분인가? </t>
    <phoneticPr fontId="1" type="noConversion"/>
  </si>
  <si>
    <t>9분</t>
    <phoneticPr fontId="1" type="noConversion"/>
  </si>
  <si>
    <t xml:space="preserve">OXIDE 후 Weight Gain 측정(흑화막 제거)을 위해 사용하는 약품은? </t>
    <phoneticPr fontId="1" type="noConversion"/>
  </si>
  <si>
    <t>20% 황산</t>
    <phoneticPr fontId="1" type="noConversion"/>
  </si>
  <si>
    <t xml:space="preserve"> FMEA</t>
  </si>
  <si>
    <t xml:space="preserve"> FMEA</t>
    <phoneticPr fontId="1" type="noConversion"/>
  </si>
  <si>
    <t>수직흑화 일반용</t>
    <phoneticPr fontId="1" type="noConversion"/>
  </si>
  <si>
    <t>판 붙음, 잔동, 액튐, 스크러치, 미흑화</t>
    <phoneticPr fontId="1" type="noConversion"/>
  </si>
  <si>
    <t>수직 흑화 Rack 투입 간격은 몇 분인가?</t>
    <phoneticPr fontId="1" type="noConversion"/>
  </si>
  <si>
    <t>9분</t>
    <phoneticPr fontId="1" type="noConversion"/>
  </si>
  <si>
    <t>제품 표면을 검게 산화막을 형성하는 과정</t>
    <phoneticPr fontId="1" type="noConversion"/>
  </si>
  <si>
    <t xml:space="preserve">수직 흑화에서 동농도를 관리하는 조를 쓰시오.(2개) </t>
    <phoneticPr fontId="1" type="noConversion"/>
  </si>
  <si>
    <t>소프트에칭, 포스트딥</t>
    <phoneticPr fontId="1" type="noConversion"/>
  </si>
  <si>
    <t>수직 흑화에서 Post Dip Weight Gain을 측정(흑화막 제거)을 위해 사용하는 약품과 온도는?</t>
    <phoneticPr fontId="1" type="noConversion"/>
  </si>
  <si>
    <t>20% 황산, 70℃</t>
    <phoneticPr fontId="1" type="noConversion"/>
  </si>
  <si>
    <t>수직흑화 전장용</t>
  </si>
  <si>
    <t>0% 황산</t>
    <phoneticPr fontId="1" type="noConversion"/>
  </si>
  <si>
    <t xml:space="preserve">수직 흑화에서 동농도를 관리하는 조를 쓰시오.(2개) </t>
    <phoneticPr fontId="1" type="noConversion"/>
  </si>
  <si>
    <t xml:space="preserve">수직 흑화 후 발생할 수 있는 불량을 3가지 이상 쓰시오. </t>
    <phoneticPr fontId="1" type="noConversion"/>
  </si>
  <si>
    <t>기판붙음, 잔동, 액튐, 스크러치, 미흑화</t>
    <phoneticPr fontId="1" type="noConversion"/>
  </si>
  <si>
    <t>실리콘 매트 세정 주기는 (   )회 이며 결과는 C/S에 기록 한다.</t>
    <phoneticPr fontId="1" type="noConversion"/>
  </si>
  <si>
    <t>Lay-up 청소기 노즐은 마찰 및 훼손에 의해 이물이 제품에 전이될 수 있으므로 교체주기는 (    )마다 교체를 한다.</t>
    <phoneticPr fontId="1" type="noConversion"/>
  </si>
  <si>
    <t>1개월</t>
  </si>
  <si>
    <t>Lay-up 장갑 사용시 찢어짐, 오염등을 예방하기 위해 (     )Cycle마다 교체를 하여야 한다.</t>
    <phoneticPr fontId="1" type="noConversion"/>
  </si>
  <si>
    <t>Lay-up PM후 목시로 이물을 관찰하기 힘듬으로 (     )를 이용하여 관찰 및 검사를 한다.</t>
    <phoneticPr fontId="1" type="noConversion"/>
  </si>
  <si>
    <t>UV랜턴</t>
  </si>
  <si>
    <t>동박</t>
    <phoneticPr fontId="1" type="noConversion"/>
  </si>
  <si>
    <t>재단기</t>
    <phoneticPr fontId="1" type="noConversion"/>
  </si>
  <si>
    <t>정면기 온도로 맞는것은?
    ①  50 ~ 60℃   ②  50 ~ 70℃  ③  50 ~ 80℃  ④  50 ~ 100℃</t>
    <phoneticPr fontId="1" type="noConversion"/>
  </si>
  <si>
    <t>SUS 구분 방법으로 맞는것은?
    ①                        ②                        ③                         ④</t>
    <phoneticPr fontId="1" type="noConversion"/>
  </si>
  <si>
    <t>공통</t>
    <phoneticPr fontId="1" type="noConversion"/>
  </si>
  <si>
    <t>12um 동박만 해당</t>
    <phoneticPr fontId="1" type="noConversion"/>
  </si>
  <si>
    <t>장갑 오염원 제거 사양은?</t>
    <phoneticPr fontId="1" type="noConversion"/>
  </si>
  <si>
    <t>볼트 고정 방식으로 볼트 풀림 및 지그 흔들림 여부를 점검한다</t>
    <phoneticPr fontId="1" type="noConversion"/>
  </si>
  <si>
    <t>축간편차 측정방법은?</t>
    <phoneticPr fontId="1" type="noConversion"/>
  </si>
  <si>
    <t>(측정 길이 값) - (Program 설정값) = 1mm 이하</t>
  </si>
  <si>
    <t>제품 측면에 골다공증 발생 시 Pin 위치 이동 및 jig 교체 주기는 ?</t>
    <phoneticPr fontId="1" type="noConversion"/>
  </si>
  <si>
    <t>발생 시 즉시 교체</t>
    <phoneticPr fontId="1" type="noConversion"/>
  </si>
  <si>
    <t>가공 후 Stack 된 제품의 최 상판 부분에 Burr 발생이 심해질 시 Entry B/D 교체 주기는?</t>
    <phoneticPr fontId="1" type="noConversion"/>
  </si>
  <si>
    <t>발생 시 즉시 교체</t>
    <phoneticPr fontId="1" type="noConversion"/>
  </si>
  <si>
    <t>Up/Down Limit 설정 실수로 인한 Bottom 면 관통성 3T 파손 발생시 교체 주기는?</t>
    <phoneticPr fontId="1" type="noConversion"/>
  </si>
  <si>
    <t>판넬 단위로 작업을 하며, 제품 top면에 레이저 소스로 자동 마킹을 할 수 있는 것은?</t>
    <phoneticPr fontId="1" type="noConversion"/>
  </si>
  <si>
    <t>바코드 각인기</t>
    <phoneticPr fontId="1" type="noConversion"/>
  </si>
  <si>
    <t>2D 바코드를 인신하여 숫자/문자로 변환 하는 도구는?</t>
    <phoneticPr fontId="1" type="noConversion"/>
  </si>
  <si>
    <t>바코드 리더기</t>
    <phoneticPr fontId="1" type="noConversion"/>
  </si>
  <si>
    <t>X-Ray 공정 용어를 쓰시오.</t>
    <phoneticPr fontId="1" type="noConversion"/>
  </si>
  <si>
    <t>Trimming 및 Driii 진행 시 기준이 되는 Hole을 가공하는 공정</t>
    <phoneticPr fontId="1" type="noConversion"/>
  </si>
  <si>
    <t>원자재 중심으로 판넬의 상판과 하판을 분리하는 공정</t>
    <phoneticPr fontId="1" type="noConversion"/>
  </si>
  <si>
    <t xml:space="preserve">Dual Detach 란? </t>
    <phoneticPr fontId="1" type="noConversion"/>
  </si>
  <si>
    <t>절연판의 한쪽면 또는 양쪽면에 동박을 입힌 인쇄회로 기판용 적층판은?</t>
    <phoneticPr fontId="1" type="noConversion"/>
  </si>
  <si>
    <t>CCL</t>
    <phoneticPr fontId="1" type="noConversion"/>
  </si>
  <si>
    <t>공정이 진행이 불가한 수준으로 기판이 파손된 상태는 ?</t>
    <phoneticPr fontId="1" type="noConversion"/>
  </si>
  <si>
    <t>기판 파손</t>
    <phoneticPr fontId="1" type="noConversion"/>
  </si>
  <si>
    <t>다음은 Multiclean S 산도 분석 방법으로, (          ) 안에 알맞은 용어를 쓰시오.
    ① 시료 2㎖를 250㎖ Erlenmeyer Flask에 취한다. 
    ② DI Water 50㎖를 가하여 희석한다.
    ③ (                 )지시약 2~3적을 가한다.
    ④ 1.0 N-NaOH(수산화 나트륨) 표준 용액으로 무색에서 분홍색으로 될 때까지 적정한다.
    ⑤ 계산 : 산도(%) = 1.0 N-NaOH ㎖ 수</t>
    <phoneticPr fontId="1" type="noConversion"/>
  </si>
  <si>
    <t>블록 게이지 교환 주기는 ?</t>
    <phoneticPr fontId="1" type="noConversion"/>
  </si>
  <si>
    <t>3년</t>
    <phoneticPr fontId="1" type="noConversion"/>
  </si>
  <si>
    <t>2 Point, 출하검사조장, 품질관리</t>
    <phoneticPr fontId="1" type="noConversion"/>
  </si>
  <si>
    <t>측정기 프로그램 초기 실행 시 Probe 좌표 초기화 및 시스템 간섭이 있는지 확인하는 작업은?</t>
    <phoneticPr fontId="1" type="noConversion"/>
  </si>
  <si>
    <t>시스템 리셋</t>
    <phoneticPr fontId="1" type="noConversion"/>
  </si>
  <si>
    <t>제품 이송용 흡착기  원점 셋팅을 위한 초기화 작업은?</t>
    <phoneticPr fontId="1" type="noConversion"/>
  </si>
  <si>
    <t>원점 운전</t>
    <phoneticPr fontId="1" type="noConversion"/>
  </si>
  <si>
    <t>제품과 Board 혹은 제품과 BOX를 고정 시켜 제품의 흔들림이 없도록 Banding 하는 비닐 자재인 것은?</t>
    <phoneticPr fontId="1" type="noConversion"/>
  </si>
  <si>
    <t>PE 수축 밴드</t>
    <phoneticPr fontId="1" type="noConversion"/>
  </si>
  <si>
    <t xml:space="preserve">Brown OXIDE 공정을 설명하시오. </t>
    <phoneticPr fontId="1" type="noConversion"/>
  </si>
  <si>
    <t>OOS 발생 시 Affect 제품은 무엇으로 진행 하는 가?</t>
    <phoneticPr fontId="1" type="noConversion"/>
  </si>
  <si>
    <t>DRB 진행</t>
    <phoneticPr fontId="1" type="noConversion"/>
  </si>
  <si>
    <t>가접 X-Ray시 제품 사이마다 넣어야 하는 제품은?</t>
    <phoneticPr fontId="1" type="noConversion"/>
  </si>
  <si>
    <t>크라프트지</t>
    <phoneticPr fontId="1" type="noConversion"/>
  </si>
  <si>
    <t>제품의 작업 조건 등 공정 이력 관리를 위해  여러 기록 문서를 기록하여 관리하게 됩니다. 다음은 어떤 기록 문서를 설명 하는 것일까요?</t>
    <phoneticPr fontId="1" type="noConversion"/>
  </si>
  <si>
    <t>일상점검표 &amp; CS &amp; C/S</t>
    <phoneticPr fontId="1" type="noConversion"/>
  </si>
  <si>
    <t>5S 활동 &amp; 3정 5S &amp; 5S</t>
    <phoneticPr fontId="1" type="noConversion"/>
  </si>
  <si>
    <t>작업 표준 &amp; WI</t>
    <phoneticPr fontId="1" type="noConversion"/>
  </si>
  <si>
    <t>본 평가에서 일정 점수를 취득 할 경우 신입 인증을 받게 됩니다. 아래 보기 항목 중 신입 인증자가 해서는 안되는 행위는 어떤 것일까요?
     ①  작업 조건 및 자재가 일치되는지 확인한다.
     ②  설비 일상 점검 항목을 점검하여 기록한다.
     ③  정해진 조건 확인 후 조건이 맞을 시 작업을 진행한다.
     ④  설비 이상 발생 시 선임자에게 즉 보고하여 조치한다.</t>
    <phoneticPr fontId="1" type="noConversion"/>
  </si>
  <si>
    <t>신입 인증 (공통)</t>
    <phoneticPr fontId="1" type="noConversion"/>
  </si>
  <si>
    <t>아래 항목은  Clean Room 입실 시 반입해서는 안되는 물품입니다. 해당하지 않은 것은 무엇일까요?
      ① 청정화 과정(Cleaning)을 거치지 않은 물품  (재료, 치공구, 비품, 작업대)
      ② 저 발진성을 인정 받지 못한 일반 종이류  
      ③ 연필, 지우개, 만년필, 수성펜, 잉크, 먹지 등
      ④ 칠판, 분필, 목재, 사포(sand paper) , 프린터 (Toner 사용)
      ⑤ 무진 용지, 무진 볼펜 등 규정화 된 비품</t>
    <phoneticPr fontId="1" type="noConversion"/>
  </si>
  <si>
    <t xml:space="preserve">근무 시 어려운 용어로 인해 이해가 안되는 부분에 대해서 어떻게 해야 할까요?
      ① 선임자에게 용어의 뜻에 대해 물어보고 이해가 될 때까지 확인한다.
      ② 시간이 지나면 알게 될 것이다 라고 생각하고 지나친다.
      ③ 내가 모른다고 지금 당장 문제되지 않으니 이해하는 척하고 넘어간다.
      ④ 자존심은 상할 수 없다. 모르면 모르는 대로 지내면 된다. </t>
    <phoneticPr fontId="1" type="noConversion"/>
  </si>
  <si>
    <t>작업 방법과 조건 설정에 대해 선임에게 설명을 들었어도 이해가 되지 않을 때는 어떻게 해야 할까요?
     ① 잘 모르겠다.                                                                          
     ② 비치된 작업 표준 문서를 확인해 본다.
     ③ 선임이 알아서 잘하는데 시간이 지나면 알게 된다.    
     ④ 보던 대로 그냥 따라하면 된다.</t>
    <phoneticPr fontId="1" type="noConversion"/>
  </si>
  <si>
    <t>교육 공정에 맞게 간략하게 서술</t>
    <phoneticPr fontId="1" type="noConversion"/>
  </si>
  <si>
    <t>현재 교육 받고 있는 공정과 해당 공정은 어떤 작업을 진행하는 공정인지 간략하게 서술해보세요.
       1) 교육 공정 :
       2) 공정 설명 :</t>
    <phoneticPr fontId="1" type="noConversion"/>
  </si>
  <si>
    <t>자주검사</t>
    <phoneticPr fontId="1" type="noConversion"/>
  </si>
  <si>
    <t>공정 기준 확인</t>
    <phoneticPr fontId="1" type="noConversion"/>
  </si>
  <si>
    <t>현장 출입 시 지켜야 할 기본 복장 및 규정에 대해 교육이 진행되었을 텐데요. 하기 내용 중 해서는 안되는 행위는 어떤 것일까요?
      ① 현장 출입 시 방진화를 착용한다.
      ② 마스크 착용 시 코까지 올려 쓰며, 턱에 걸치지 않는다
      ③ 제품 취급 시 장갑을 필히 착용한다.
      ④ 방진복이 지저분할 때 자가 세탁을 진행하여 항시 청결함을 유지한다.</t>
    <phoneticPr fontId="1" type="noConversion"/>
  </si>
  <si>
    <t>작업 표준 &amp; 표준</t>
    <phoneticPr fontId="1" type="noConversion"/>
  </si>
  <si>
    <t>[VDA 6.3] 입고 자재가 적절하게 보관되어 있고, 입고 자재의 특별특성을 위하여 운송/포장 설비 수단의 내용으로 거리가 먼 것은? 
     ① CSR/CR에 따른 포장 사양은 반드시 검토 및 반영되어야 한다. 
     ② 보관 용기의 주기적 청소 및 모니터링을 실시해야 한다.
     ③ 유수명 자재 관리는 모니터링에서 제외가 가능하다. 
     ④ 보관 장소의 청결 및 상태가 적절히 관리되어야 한다.</t>
    <phoneticPr fontId="1" type="noConversion"/>
  </si>
  <si>
    <t xml:space="preserve">[VDA 6.3] 생산 프로세스 반복 릴리즈에서 고려해야 할 사항이 아닌 것은? 
     ① 승인은 승인 기준에 따라 권한을 부여 받은 직원이 수행해야 한다.
     ② 일상적인 생산 시 생산 가동 승인, 계획된 정지에 대한 생산 가동 승인은 꼭 필요한 것은 아니다.
     ③ 검사 항목이 한도 견본으로 확인 가능하다.
     ④ 불가피하게 승인 시간이 지연된다면, 샘플을 승인할 때까지 제품을 분리하고 진행한다.  </t>
    <phoneticPr fontId="1" type="noConversion"/>
  </si>
  <si>
    <t>[VDA 6.3] VDA 프로세스 심사 시 문항 평가를 위한 적절한 배점으로 판단하기 어려운 것은? 
     ① 고객 요구 사항(System적) 누락 및 미반영 : 0점
     ② 변경점 고객 미합의 및 미통보 : 0점
     ③ 개발 실행 PPAP 승인 누락 : 0점
     ④ 부적합품 기록 관리 누락 : 0점</t>
    <phoneticPr fontId="1" type="noConversion"/>
  </si>
  <si>
    <t>Trim 공정의 목적으로 맞은 것은?
     ① 불필요 Target부를 절삭하는 공정
     ② 불필요 Loss부를 절삭하는 공정
     ③ Strip 단위 Routing 하는 공정 
     ④ PCS 단위 Routing 하는 공정</t>
    <phoneticPr fontId="1" type="noConversion"/>
  </si>
  <si>
    <t>Jig 점검 주기로 맞는 것은?
     ① 1회/일 
     ② 1회/조
     ③ 1회/주 
     ④ 1회/1개월</t>
    <phoneticPr fontId="1" type="noConversion"/>
  </si>
  <si>
    <t>스핀들(Spindle) 교체 대상이 아닌 것은?
     ① 빡빡한 경우
     ② 주기적으로 1회/주로 교체
     ③ 느슨한 경우
     ④ 내부 표면에 상처가 발생하거나 외부가 파손되었을 경우</t>
    <phoneticPr fontId="1" type="noConversion"/>
  </si>
  <si>
    <t>Trim 작업 전, 선행 공 Cycle 하는 이유가 아닌 것은?
     ① 설비 이상 유무 확인 
     ② 홀 축소 확인 
     ③ 가공 치수 확인
     ④ 오절삭 예방</t>
    <phoneticPr fontId="1" type="noConversion"/>
  </si>
  <si>
    <t>Trim 가공 Miss를 방지하기 위해 가공 위치를 확인하는 방법으로 맞는 것은?
     ① DNC P/G은 전산으로 이루어지므로 확인 안 해도 됨
     ② 가공 완료 후 줄자를 이용하여 치수를 측정하면 됨
     ③ DNC P/G 로딩 후 가공 위치를 알 수 있는 위치 확인 홀의 위치를 2개소 이상 확인해야 함
     ④ 위치 확인 홀 Burr 상태를 확인하여야 함 (홀 Burr 발생 시 Trim Size에 영향을 줄 수 있음)</t>
    <phoneticPr fontId="1" type="noConversion"/>
  </si>
  <si>
    <t>EPP 제품(03FSP_R, 04FSP_R) 내층 Trim 작업 방법 중 틀린 것은?
     ① 고정 PIN jig 적용 제품으로 Backlite jig 변경해야 한다.
     ② 고정 PIN jig 적용 제품은 공 Cycle 검증 할 필요가 없다.
     ③ CCL 보다 크게 Trim 하는 제품으로 Burr 검사 必  확인한다.
     ④ Trim 진행 시 DN(Down Limit) 값이 12.5 → 15.5로 변경되는지 확인한다.</t>
    <phoneticPr fontId="1" type="noConversion"/>
  </si>
  <si>
    <t xml:space="preserve">Trim 설비 공통 Air 압력 관리 범위는?
     ① 0.4~0.6㎫
     ② 0.55~0.75㎫
     ③ 0.5~0.7㎫
     ④ 0.6±0.8㎫ </t>
    <phoneticPr fontId="1" type="noConversion"/>
  </si>
  <si>
    <t>Trim 설비 집진 압력 관리 범위는?
     ① 300mmaq 이상 
     ② 400mmaq 이상
     ③ 400~600mmaq
     ④ 1000mmaq 이상</t>
    <phoneticPr fontId="1" type="noConversion"/>
  </si>
  <si>
    <t>Trim시 Kraft 사용하는 이유는 무엇인가?
     ① Trim 오절삭을 예방 
     ② Burr 발생을 최소화
     ③ Trim 작업의 비밀 보장
     ④ 제품 Scratch 방지</t>
    <phoneticPr fontId="1" type="noConversion"/>
  </si>
  <si>
    <t>Trim 설비 임피드(절삭 속도) 기준으로 맞는 것은?
     ① 2.0 m/min 이하
     ② 2.0 m/min 이상
     ③ 3.0 m/min 이하 
     ④ 3.0 m/min 이상</t>
    <phoneticPr fontId="1" type="noConversion"/>
  </si>
  <si>
    <t>Trim Bit의 ∮는?
     ① 1.8∮
     ② 2.0∮
     ③ 2.5∮
     ④ 3.15∮</t>
    <phoneticPr fontId="1" type="noConversion"/>
  </si>
  <si>
    <t>Trim Bit 사용 거리 기준은?
     ① 16.5m
     ② 30m
     ③ 20m
     ④ 50m</t>
    <phoneticPr fontId="1" type="noConversion"/>
  </si>
  <si>
    <t>제품 Stack 두께에 따라 Stacking 하는 기준은?
     ① 무조건 15 Stack 
     ② 두께/공법에 따라 8,10,15 Stack
     ③ 무조건 10 Stack 
     ④ Lot 단위 Stack</t>
    <phoneticPr fontId="1" type="noConversion"/>
  </si>
  <si>
    <t>Collet 청소 방법으로 틀린 것은?
     ① spray Nozzle를 chock 입구에 넣고 끝으로 향해 뿌린 후 clamp Iose을 10회 이상 반복한다. 
     ② 1항의 조작을 3회 반복한다.
     ③ chock Ioose 상태에서 깨끗이 닦은 3.18Ø의 핀을 회전하면서 5회정도 떨어 트려본다.
     ④ chock 입구를 가아제로 닦는다.</t>
    <phoneticPr fontId="1" type="noConversion"/>
  </si>
  <si>
    <t>설비 원점 Off-set으로 맞은 것은?
     ① X0. Y-30
     ② X30. Y0
     ③ X0. Y30
     ④ X-30. Y0</t>
    <phoneticPr fontId="1" type="noConversion"/>
  </si>
  <si>
    <t>위치 확인 홀을 확인했다고 표시하는 항목은?
     ① 제품 더미에 Lot No기록
     ② 위치 확인 홀 옆 Lot No기록
     ③ 제조 지시서 Lot No기록 
     ④ 작업 일보 Lot No 기록</t>
    <phoneticPr fontId="1" type="noConversion"/>
  </si>
  <si>
    <t>트리밍(고다층) 기준, 신공정 Code로 맞은 것은?
     ① F78
     ② F72
     ③ F88
     ④ F84</t>
    <phoneticPr fontId="1" type="noConversion"/>
  </si>
  <si>
    <t xml:space="preserve">Collet 청소 주기로 알맞은 것은?
     ① 1회/일 
     ② 1회/조
     ③ 1회/주
     ④ 1회/1개월 </t>
    <phoneticPr fontId="1" type="noConversion"/>
  </si>
  <si>
    <t xml:space="preserve">트리밍 축간편차 측정 주기는?
     ① 1회/일 
     ② 1회/조
     ③ 1회/주
     ④ 1회/1개월 </t>
    <phoneticPr fontId="1" type="noConversion"/>
  </si>
  <si>
    <t>Burr 제거 시 알맞은 방법은?
     ① 트리밍 완료 제품 절삭면에 Burr 발생이 있을 경우 커터날을 사용하여 제거한다.
     ② 무리한 힘을 가하여 Burr를 제거한다.
     ③ 여러 LOT씩 진행한다.
     ④ Burr 제거 시 잔해물을 제거하지 않고 진행한다.</t>
    <phoneticPr fontId="1" type="noConversion"/>
  </si>
  <si>
    <t>RPM(회전속도)으로 일치하는 것은?
     ① 32.0 krpm
     ② 33.0 krpm
     ③ 31.0 krpm
     ④ 30.0 krpm</t>
    <phoneticPr fontId="1" type="noConversion"/>
  </si>
  <si>
    <t>[VDA 6.3] PCB 취급 시 올바른 방법은 무엇인가?
     ① 맨손으로 패턴 부분을 잡는다.
     ② 장갑 없이 가장자리만 잡으면 된다.
     ③ 정전기 방지 장갑을 착용하고 가장자리를 잡는다.
     ④ 아무렇게나 잡아도 기능에는 영향 없다.</t>
    <phoneticPr fontId="1" type="noConversion"/>
  </si>
  <si>
    <t>[VDA 6.3] 공정 중 불량 PCB를 발견했을 때 올바른 조치는?
     ① 다음 공정으로 그냥 넘긴다.
     ② 작업이 끝난 후 보고한다.
     ③ 즉시 분리하고 관리자에게 보고한다.
     ④ 표시만 해두고 사용한다.</t>
    <phoneticPr fontId="1" type="noConversion"/>
  </si>
  <si>
    <t>Trim 공정의 목적으로 맞은 것은? 
    ① 불필요 Target부를 절삭하는 공정
    ② 불필요 Loss부를 절삭하는 공정
    ③ Strip 단위 Routing 하는 공정 
    ④ PCS 단위 Routing 하는 공정</t>
    <phoneticPr fontId="1" type="noConversion"/>
  </si>
  <si>
    <t xml:space="preserve">Jig 점검 주기로 맞는 것은? 
     ① 1회/일 
     ② 1회/조
     ③ 1회/주
     ④ 1회/1개월 </t>
    <phoneticPr fontId="1" type="noConversion"/>
  </si>
  <si>
    <t>스핀들(Spindle) 교체 대상이 아닌 것은?
     ① 빡빡한 경우
     ② 주기적으로 1회/주로 교체
     ③ 느슨한 경우 
     ④ 내부 표면에 상처가 발생하거나 외부가 파손되었을 경우</t>
    <phoneticPr fontId="1" type="noConversion"/>
  </si>
  <si>
    <t xml:space="preserve">Trim 설비 공통 Air 압력 관리 범위는? 
     ① 0.4~0.6㎫
     ② 0.55~0.75㎫
     ③ 0.5~0.7㎫
     ④ 0.6±0.8㎫ </t>
    <phoneticPr fontId="1" type="noConversion"/>
  </si>
  <si>
    <t>Trim 설비 집진 압력 관리 범위는? 
     ① 300mmaq 이상 
     ② 400mmaq 이상
     ③ 400~600mmaq
     ④ 1000mmaq 이상</t>
    <phoneticPr fontId="1" type="noConversion"/>
  </si>
  <si>
    <t>Trim 설비 임피드(절삭 속도) 기준으로 맞는 것은?
     ① 2.0 m/min 이하
     ② 2.0 m/min 이상 
     ③ 3.0 m/min 이하
     ④ 3.0 m/min 이상</t>
    <phoneticPr fontId="1" type="noConversion"/>
  </si>
  <si>
    <t>Trim Bit의 ∮는? 
     ① 1.8∮
     ② 2.0∮
     ③ 2.5∮
     ④ 3.15∮</t>
    <phoneticPr fontId="1" type="noConversion"/>
  </si>
  <si>
    <t>Trim Bit 사용 거리 기준은? 
     ① 16.5m
     ② 30m 
     ③ 20m
     ④ 50m</t>
    <phoneticPr fontId="1" type="noConversion"/>
  </si>
  <si>
    <t xml:space="preserve">설비 원점 Off-set으로 맞은 것은?
     ① X0. Y-30
     ② X30. Y0
     ③ X0. Y30
     ④ X-30. Y0
</t>
    <phoneticPr fontId="1" type="noConversion"/>
  </si>
  <si>
    <t>Trim 작업 전, 선행 공 Cycle 하는 이유가 아닌 것은?
     ① 설비 이상 유무 확인
     ② 홀 축소 확인 
     ③ 가공 치수 확인
     ④ 오절삭 예방</t>
    <phoneticPr fontId="1" type="noConversion"/>
  </si>
  <si>
    <t>EPP 제품(03FSP_R, 04FSP_R) 내층 Trim 작업 방법 중 맞지 않은 것은?
     ① 고정 PIN Jig 적용 제품으로 Backlite jig 변경해야 한다.
     ② 고정 PIN Jig 적용 제품은 공 Cycle 검증 할 필요가 없다.
     ③ CCL 보다 크게 Trim 하는 제품으로 Burr 검사 必 확인한다. 
     ④ Trim 진행 시 DN(Down Limit) 값이 12.5 → 15.5로 변경되는지 확인한다</t>
    <phoneticPr fontId="1" type="noConversion"/>
  </si>
  <si>
    <t>제품 Stack 두께에 따라 Stacking 하는 기준은?
     ① 무조건 15 Stack 
     ② 두께/공법에 따라 8, 10, 15 Stack
     ③ 무조건 10 Stack
     ④ Lot 단위 Stack</t>
    <phoneticPr fontId="1" type="noConversion"/>
  </si>
  <si>
    <t xml:space="preserve">Burr 제거 방법으로 틀린 것은?
     ① Trimming 완료 제품 절삭면에 대해 Burr 발생이 있는 경우, 커터날을 사용하여 제거한다. 
     ② Burr 제거 후에는 이물을 Cleaning 한다.
     ③ Burr 제거 시 무리한 힘을 가하여 제품 손상이 가지 않도록 주의한다.
     ④ 혼입 방지를 위해 Burr 제거는 1PNL씩 진행한다. </t>
    <phoneticPr fontId="1" type="noConversion"/>
  </si>
  <si>
    <t>Trim 시 Kraft 사용하는 이유는 무엇인가?
     ① Trim 오절삭을 예방
     ② Burr 발생을 최소화
     ③ Trim 작업의 비밀 보장
     ④ 제품 Scratch 방지</t>
    <phoneticPr fontId="1" type="noConversion"/>
  </si>
  <si>
    <t>가접 기준 공정 Code로 맞은 것은?  
     ① 2FL
     ② F2P
     ③ FS2 
     ④ F77</t>
    <phoneticPr fontId="1" type="noConversion"/>
  </si>
  <si>
    <t>Trim 가공 Miss를 방지하기 위해 가공 위치를 확인하는 방법으로 맞는 것은?
     ① DNC P/G은 전산으로 이루어지므로 확인은 안 해도 됨
     ② 가공 완료 후 줄자를 이용하여 치수를 측정하면 됨
     ③ DNC P/G 로딩 후 가공 위치를 알 수 있는 위치 확인 홀의 위치를 2개소 이상 확인해야 함     
     ④ 위치 확인 홀 Burr 상태를 확인하여야 함 (홀 Burr 발생 시 Trim Size에 영향을 줄 수 있음)</t>
    <phoneticPr fontId="1" type="noConversion"/>
  </si>
  <si>
    <t>위치 확인 홀을 확인했다고 표시하는 항목은? 
     ① 제품 더미에 Lot No기록
     ② 위치 확인 홀 옆 Lot No기록
     ③ 제조 지시서 Lot No기록
     ④ 작업 일보 Lot No 기록</t>
    <phoneticPr fontId="1" type="noConversion"/>
  </si>
  <si>
    <t xml:space="preserve">아래 어떤 제품에 대해 1Cycle 4축에 대해 동일 관리 번호로 작업을 해야 하는가?
     ① 메탈 제품
     ② EPP 제품
     ③ SIP 고다층 제품
     ④ 가접 제품
</t>
    <phoneticPr fontId="1" type="noConversion"/>
  </si>
  <si>
    <t>장갑 사용 시 교체 주기로 알맞은 것은?
      ① 모든 작업이 끝난 후 장갑을 교체한다.
      ② 제품 표면에 지문 자국 및 장갑 오염원 전이 시 즉 교체한다.
      ③ 1 LOT가 끝나면 장갑을 교체한다.
      ④ 장갑 교체 없이 작업을 진행한다.</t>
    <phoneticPr fontId="1" type="noConversion"/>
  </si>
  <si>
    <t>제조, 기술, 설비부 설비 사용 시 설비 표기 방법으로 틀린 것은?
     ① 설비 사용 Tag를 설비 모니터 하단에 부착한다.
     ② 설비 사용 완료 후에는 필히 변경 내용에 대하여 원복 실시한다.
     ③ 작업자와 함께 공 Cycle 1회 가동 이상 여부 확인한다.
     ④ 이상 발견 후 작업을 계속 진행한다.</t>
    <phoneticPr fontId="1" type="noConversion"/>
  </si>
  <si>
    <t>지그 점검 방법으로 알맞은 것은?
     ① 볼트 고정 방식으로 볼트 풀림 및 지그 흔들림 여부를 점검한다.
     ② pin 상태를 확인하지 않는다.
     ③ 볼트를 고정하지 않고 작업을 진행한다.
     ④ 지그를 설치하지 않는다.</t>
    <phoneticPr fontId="1" type="noConversion"/>
  </si>
  <si>
    <t xml:space="preserve">4
</t>
    <phoneticPr fontId="1" type="noConversion"/>
  </si>
  <si>
    <t xml:space="preserve">Dual Detach Cutting 후 PLP 제품 자주검사 주기는?
     ① 초품/Lot
     ② 초품,말품/조
     ③ 말품/Lot
     ④ 초품,말품/Lot
</t>
    <phoneticPr fontId="1" type="noConversion"/>
  </si>
  <si>
    <t xml:space="preserve">제품의 수량 단위가 아닌 것은?
     ① Lot
     ② Strip
     ③ Pcs
     ④ mm
</t>
    <phoneticPr fontId="1" type="noConversion"/>
  </si>
  <si>
    <t>Dual Detach Cutting 시 PLP 제품 커팅 Spec 은?
     ① 3mm 이하
     ② 4mm 이하
     ③ 5mm 이하
     ④ 6mm 이하</t>
    <phoneticPr fontId="1" type="noConversion"/>
  </si>
  <si>
    <t>혼입 방지 및 예방을 위한 내용 중 옳지 않은것은? 
     ① 제조지시서와 제품의 일치성을 확인해야 한다.
     ② 제조지시서와 이전공정에서 제품에 기록한 Lot No의 일치성을 확인해야 한다.
     ③ 전산 MES와 실수량 및 제조지시서의 수량 일치성을 확인해야 한다.
     ④ 전산 MES와 제조지시서만 일치하면 된다.</t>
    <phoneticPr fontId="1" type="noConversion"/>
  </si>
  <si>
    <t xml:space="preserve">Dual Detach 공정에서 나올 수 없는 불량은?
     ① 구김 불량 : 제품 취급 과정에서의 구김 발생
     ② 파손 불량 : 취급성 또는 레진붙음, 액침투에 의한 파손 발생
     ③ 휨 불량 : 분리 방법 미 준수에 의한 휨 발생
     ④ 적층 이물 : 제품 취급 중 이물이 제품에 전이되어 불량 발생
</t>
    <phoneticPr fontId="1" type="noConversion"/>
  </si>
  <si>
    <t>Dual Detach 분리기에서 블레이드 표면 확인 방법은 ?
     ① 찍힘이 없을 것
     ② 상처가 없을 것
     ③ 찍힘,상처가 없을 것
     ④ 찍힘, 상처, 스크래치가 없을 것</t>
    <phoneticPr fontId="1" type="noConversion"/>
  </si>
  <si>
    <t>Dual Detach 공정 분리기에서 진공 테이블 점검 주기로 맞는것은 ? 
     ① 1회/주
     ② 1회/일
     ③ 1회/월
     ④ 1회/분기</t>
    <phoneticPr fontId="1" type="noConversion"/>
  </si>
  <si>
    <t>Dual Detach 공정코드로 옳은 것은?
     ① 423 Dual Detach
     ② 4AQ Dual Detach
     ③ 4QA Dual Detach
     ④ 4BQ Dual Detach</t>
    <phoneticPr fontId="1" type="noConversion"/>
  </si>
  <si>
    <t>작업 표준서의 내용에서 4M을 기준이 많이 나온다. 4M이 아닌 것은?
     ① 사람(Man)
     ② 자금(Money)
     ③ 방법(Method)
     ④ 설비(Machine)</t>
    <phoneticPr fontId="1" type="noConversion"/>
  </si>
  <si>
    <t>Dual Detach 분리기 후 적재 방법으로 맞는 것은?
     ① Box내 자Lot 하부, 모Lot 상부 적재
     ② Box내 모Lot 하부, 자Lot 상부 적재
     ③ Box내 자Lot ,모Lot 구분만 되면 됨
     ④ Box내 자Lot, 모Lot 구분 관계 없으며 수량만 맞으면 됨</t>
    <phoneticPr fontId="1" type="noConversion"/>
  </si>
  <si>
    <t>Carrier Detach 공정코드로 옳은 것은?
     ① 4BN Carrier Detach
     ② 423 Carrier Detach 
     ③ 4AN Carrier Detach
     ④ 4BM Carrier Detach</t>
    <phoneticPr fontId="1" type="noConversion"/>
  </si>
  <si>
    <t xml:space="preserve">Carrier Detach 공정에서 나올 수 있는 불량이 일치하는 것은? 
     ① 기판 파손, 액침투, Dent
     ② 기판 파손, 상처, Scratch
     ③ 적층이물, 상처, Scratch
     ④ 기판 파손, 액침투, 레진붙음
</t>
    <phoneticPr fontId="1" type="noConversion"/>
  </si>
  <si>
    <t>Dual Detach Cutting 시 PLP 제품 자주검사 항목으로 맞는것은?
     ① 커팅 Size를 측정한다.
     ② 상처 및 스크래치를 검사한다.
     ③ 적층이물을 검사한다.
     ④ 제품 Size를 측정한다.</t>
    <phoneticPr fontId="1" type="noConversion"/>
  </si>
  <si>
    <t>Carrier Detach 공정에서 제품 산화 방지를 위한 행동 중 옳지 않은 것은? 
     ① 간지를 덮어 놓으면 안된다.
     ② 장갑을 착용해야 한다.
     ③ 마스크를 착용해야 한다.
     ④ 작업 후 Lot는 간지를 덮는다.</t>
    <phoneticPr fontId="1" type="noConversion"/>
  </si>
  <si>
    <t>[VDA 6.3] 작업 표준서와 다른 방법으로 작업해도 되는 경우는?
     ① 더 빠른 방법이면 가능
     ② 품질에 문제 없다고 판단되면 가능
     ③ 관리자 승인 없이 가능
     ④ 승인 없이 변경하면 안 된다</t>
    <phoneticPr fontId="1" type="noConversion"/>
  </si>
  <si>
    <t>[VDA 6.3] 적층 후 기포(Voids)가 발생하는 주요 원인은?
     ① 자재 색상 차이
     ② 온도/압력 조건 불량 또는 이물 혼입
     ③ 작업시간 부족
     ④ 장갑 미착용</t>
    <phoneticPr fontId="1" type="noConversion"/>
  </si>
  <si>
    <t xml:space="preserve">급 부주의에 의한 상처 불량을 발생을 zero 하여 품질 안정화에 기여 한 것은?
     ① Edgo 안쪽 touch 금지
     ② 이동 시 손으로 잡고 판을 들고 이동한다.
     ③ 제품 안쪽에 손이 닿게 잡고 이동한다.
     ④ 기판을 한손으로 취급한다,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1" type="noConversion"/>
  </si>
  <si>
    <t>Dual Core 제품으로 Burr 제거 시 Core 벌어짐 Risk 있음</t>
    <phoneticPr fontId="1" type="noConversion"/>
  </si>
  <si>
    <t xml:space="preserve">2
</t>
    <phoneticPr fontId="1" type="noConversion"/>
  </si>
  <si>
    <t xml:space="preserve">[VDA 6.3] 생산 프로세스 반복 릴리즈에서 고려해야 할 사항이 아닌 것은?
     ① 승인은 승인 기준에 따라 권한을 부여 받은 직원이 수행해야 한다.
     ② 일상적인 생산 시 생산 가동 승인, 계획된 정지에 대한 생산 가동 승인은 꼭 필요한 것은 아니다.
     ③ 검사 항목이 한도 견본으로 확인 가능하다.
     ④ 불가피하게 승인 시간이 지연된다면, 샘플을 승인할 때까지 제품을 분리하고 진행한다.
</t>
    <phoneticPr fontId="1" type="noConversion"/>
  </si>
  <si>
    <t xml:space="preserve">[VDA 6.3] VDA 프로세스 심사 시 문항 평가를 위한 적절한 배점으로 판단하기 어려운 것은?
    ① 고객 요구 사항(System적) 누락 및 미반영 : 0점
    ② 변경점 고객 미합의 및 미통보 : 0점
    ③ 개발 실행 PPAP 승인 누락 : 0점
    ④ 부적합품 기록 관리 누락 : 0점
</t>
    <phoneticPr fontId="1" type="noConversion"/>
  </si>
  <si>
    <t xml:space="preserve">Dual Detach 분리기에서 블레이드 속도 기준으로 맞는것은? 
     ① 8~9m/min
     ② 8.2~9m/min 
     ③ 8~9.2m/min 
     ④ 8.2~9.2m/min </t>
    <phoneticPr fontId="1" type="noConversion"/>
  </si>
  <si>
    <t xml:space="preserve">Dual Detach 공정 분리기에서 진공 테이블 점검 주기로 맞는것은 ? 
     ① 1회/주
     ② 1회/일
     ③ 1회/월
     ④ 1회/분기 </t>
    <phoneticPr fontId="1" type="noConversion"/>
  </si>
  <si>
    <t xml:space="preserve">Dual Detach 공정코드로 옳은 것은?
     ① 423 Dual Detach
     ② 4AQ Dual Detach
     ③ 4QA Dual Detach
     ④ 4BQ Dual Detach </t>
    <phoneticPr fontId="1" type="noConversion"/>
  </si>
  <si>
    <t xml:space="preserve">Dual Detach Cutting 시 PLP 제품 커팅 Spec 은? 
     ① 3mm 이하
     ② 4mm 이하
     ③ 5mm 이하
     ④ 6mm 이하
</t>
    <phoneticPr fontId="1" type="noConversion"/>
  </si>
  <si>
    <t xml:space="preserve">Dual Detach 분리기 후 적재 방법으로 맞는 것은? 
     ① Box내 자Lot 하부, 모Lot 상부 적재
     ② Box내 모Lot 하부, 자Lot 상부 적재 
     ③ Box내 자Lot ,모Lot 구분만 되면 됨
     ④ Box내 자Lot, 모Lot 구분 관계 없으며 수량만 맞으면 됨
</t>
    <phoneticPr fontId="1" type="noConversion"/>
  </si>
  <si>
    <t xml:space="preserve">Carrier Detach 공정코드로 옳은 것은?
     ① 4BN Carrier Detach
     ② 423 Carrier Detach
     ③ 4AN Carrier Detach
     ④ 4BM Carrier Detach </t>
    <phoneticPr fontId="1" type="noConversion"/>
  </si>
  <si>
    <t>Carrier Detach 공정에서 Process로 맞는 것은?
     ① Press → Trim → Carrier Detach
     ② Dual detach → ITS 각인 → Carrier Detach
     ③ X-Ray → Trim → Carrier Detach
     ④ Carrier Detach → X-Ray → Trim</t>
    <phoneticPr fontId="1" type="noConversion"/>
  </si>
  <si>
    <t xml:space="preserve">Carrier Detach 공정에서 동박 제거를 위한 치공구로 맞는 것은?
     ① 줄 (야스리)
     ② 커터칼
     ③ 맨손 (손톱이용)
     ④ 날카로운 모든 것
</t>
    <phoneticPr fontId="1" type="noConversion"/>
  </si>
  <si>
    <t>1,4</t>
    <phoneticPr fontId="1" type="noConversion"/>
  </si>
  <si>
    <t>[VDA 6.3] 생산 프로세스 반복 릴리즈에서 고려해야 할 사항이 아닌 것은?
    ① 승인은 승인 기준에 따라 권한을 부여 받은 직원이 수행해야 한다.
    ② 일상적인 생산 시 생산 가동 승인, 계획된 정지에 대한 생산 가동 승인은 꼭 필요한 것은 아니다.
    ③ 검사 항목이 한도 견본으로 확인 가능하다.
    ④ 불가피하게 승인 시간이 지연된다면, 샘플을 승인할 때까지 제품을 분리하고 진행한다.</t>
    <phoneticPr fontId="1" type="noConversion"/>
  </si>
  <si>
    <t xml:space="preserve">[VDA 6.3] 입고 자재가 적절하게 보관되어 있고, 입고 자재의 특별특성을 위하여 운송/포장 설비 수단의 내용으로 거리가 먼 것은?
     ① CSR/CR에 따른 포장 사양은 반드시 검토 및 반영되어야 한다. 
     ② 보관 용기의 주기적 청소 및 모니터링을 실시해야 한다.
     ③ 유수명 자재 관리는 모니터링에서 제외가 가능하다. 
     ④ 보관 장소의 청결 및 상태가 적절히 관리되어야 한다. </t>
    <phoneticPr fontId="1" type="noConversion"/>
  </si>
  <si>
    <t>[VDA 6.3] VDA 프로세스 심사 시 문항 평가를 위한 적절한 배점으로 판단하기 어려운 것은?
     ① 고객 요구 사항(System적) 누락 및 미반영 : 0점
     ② 변경점 고객 미합의 및 미통보 : 0점
     ③ 개발 실행 PPAP 승인 누락 : 0점
     ④ 부적합품 기록 관리 누락 : 0점</t>
    <phoneticPr fontId="1" type="noConversion"/>
  </si>
  <si>
    <t>ITS 각인 좌표(PNL 상 각인 위치, 4L 외층 기준)가 알맞은 것은?
     ① 4L - 장축 3.5mm / 단축 272mm
     ② 4L - 장축 272mm / 단축 3.5mm
     ③ 4L - 장축 8mm / 단축 282mm
     ④ 4L - 장축 282mm / 단축 8mm</t>
    <phoneticPr fontId="1" type="noConversion"/>
  </si>
  <si>
    <t>ITS 각인기 Power 측정 시 관리 범위를 벗어났을 때 조치 방법으로 알맞은 것은?
    ① 설비 초기화 후 재측정
    ② Attenuator 미세 조정 후 재측정
    ③ Laser Power On/Off 후 재측정
    ④ 작업 중지</t>
    <phoneticPr fontId="1" type="noConversion"/>
  </si>
  <si>
    <t>ITS 각인기에서 설비 중점 관리 항목 2가지를 고르시오. 
     ① 냉각 칠러
     ② Loader부
     ③ Unloader부
     ④ Laser 발진기
     ⑤ 제품 이동 PAD</t>
    <phoneticPr fontId="1" type="noConversion"/>
  </si>
  <si>
    <t>ITS 각인기 Air 압력 관리 범위는? 
     ① 0.5±0.1㎫
     ② 0.6±0.1㎫
     ③ 0.52±0.5㎫
     ④ 0.5±0.2㎫</t>
    <phoneticPr fontId="1" type="noConversion"/>
  </si>
  <si>
    <t>각인기 내부 Table 청소 점검 주기로 알맞은 것은?
     ① 1회/2주
     ② 1회/1개월
     ③ 2회/일
     ④ 1회/일</t>
    <phoneticPr fontId="1" type="noConversion"/>
  </si>
  <si>
    <t>각인실 내 온도 관리 범위는?
     ① 22℃±2℃
     ② 23℃±2℃
     ③ 22℃±2℃,-3℃
     ④ 23℃±2℃,-3℃</t>
    <phoneticPr fontId="1" type="noConversion"/>
  </si>
  <si>
    <t>각인실 내 습도 관리 범위는?
     ① 40℃±10℃
     ② 50℃±10℃
     ③ 40℃±20℃,-10℃
     ④ 40℃±10℃,-20℃</t>
    <phoneticPr fontId="1" type="noConversion"/>
  </si>
  <si>
    <t>ITS 냉각 칠러 온도 관리 범위는? 
     ① 20℃±2℃
     ② 20℃±1℃
     ③ 22℃±2℃
     ④ 22℃±1℃</t>
    <phoneticPr fontId="1" type="noConversion"/>
  </si>
  <si>
    <t>제품 적치 방법으로 알맞은 것은?
     ① Check Hole이 우측 하단으로 적치
     ② Check Hole이 좌측 상단으로 적치
     ③ Check Hole이 좌측 하단으로 적치
     ④ Check Hole이 우측 상단으로 적치</t>
    <phoneticPr fontId="1" type="noConversion"/>
  </si>
  <si>
    <t>3정 5S'의 3정 항목을 바르게 나열한 것은?
     ① 3정(정품/정량/정돈)
     ② 3정(정품/정량/정위치)
     ③ 3정(정품/정리/정돈)
     ④ 3정(습관화/정량/정위치)</t>
    <phoneticPr fontId="1" type="noConversion"/>
  </si>
  <si>
    <t>제품의 수량 단위가 아닌 것은?
     ① Lot
     ② Strip
     ③ Pcs
     ④ mm</t>
    <phoneticPr fontId="1" type="noConversion"/>
  </si>
  <si>
    <t>설비 Short Down 시 ITS 각인 설비에서 필히 주의해야 할 것은?
     ① Laser Power 발진기 온도
     ② Air 압력
     ③ 집진 압력
     ④ 온/습도</t>
    <phoneticPr fontId="1" type="noConversion"/>
  </si>
  <si>
    <t>X-ray 인식기 설비 Program이 아닌 것은?
     ① L4 405-415
     ② 6L-405
     ③ 6L-415
     ④ 1L-405</t>
    <phoneticPr fontId="1" type="noConversion"/>
  </si>
  <si>
    <t>ITS 각인 목적으로 알맞은 것은?
     ① 제품 혼입 방지를 위함
     ② 제품에 Numbering을 위함
     ③ Via Hole의 재현을 위함
     ④ 관통 Hole의 재현을 위함</t>
    <phoneticPr fontId="1" type="noConversion"/>
  </si>
  <si>
    <t>2D Bar code 가공 완료 후 검사 항목으로 알맞은 것은?
     ① 각인 Hole의 관통 유무 및 제품 Size   
     ② 각인 Hole의 가공 주위 Burr 및 제품 Size  
     ③ 각인 Hole의 관통 유무 및 각인 위치  
     ④ 각인 Hole의 가공 주위 Burr 및 제품 위치</t>
    <phoneticPr fontId="1" type="noConversion"/>
  </si>
  <si>
    <t>X-ray 인식기 작업 진행 중 단순 Error 발생 시 조치 방법으로 알맞은 것은?(Alarm 해제는 공통)
     ① 정지-초기화-운전
     ② 정지-리셋-운전
     ③ 일시 정지-운전
     ④ 일시 정지-리셋-초기화-운전</t>
    <phoneticPr fontId="1" type="noConversion"/>
  </si>
  <si>
    <t>[VDA 6.3] 자재 변경이 발생했을 경우 올바른 조치는?
     ① 기존 조건 그대로 생산
     ② 작업자 판단으로 조정
     ③ 승인 후 변경관리 절차에 따라 진행
     ④ 테스트 없이 바로 양산</t>
    <phoneticPr fontId="1" type="noConversion"/>
  </si>
  <si>
    <t>[VDA 6.3] 적층 공정 중 기록 관리가 중요한 이유는?
     ① 작업자를 감시하기 위해
     ② 문제가 발생했을 때 원인 추적을 위해
     ③ 종이를 사용하기 위해
     ④ 감사용으로만 사용</t>
    <phoneticPr fontId="1" type="noConversion"/>
  </si>
  <si>
    <t xml:space="preserve">ITS 각인기 흡착패드 교체 주기는?
     ① 1회/1주
     ② 1회/일
     ③ 1회/1개월
     ④ 1회/3개월
 </t>
    <phoneticPr fontId="1" type="noConversion"/>
  </si>
  <si>
    <t>신입용 (공통)</t>
    <phoneticPr fontId="1" type="noConversion"/>
  </si>
  <si>
    <t>신입평가</t>
    <phoneticPr fontId="1" type="noConversion"/>
  </si>
  <si>
    <t>신입 인증</t>
    <phoneticPr fontId="1" type="noConversion"/>
  </si>
  <si>
    <t>전장 인증</t>
    <phoneticPr fontId="1" type="noConversion"/>
  </si>
  <si>
    <t>2023.05.24</t>
    <phoneticPr fontId="1" type="noConversion"/>
  </si>
  <si>
    <t>일반 인증</t>
    <phoneticPr fontId="1" type="noConversion"/>
  </si>
  <si>
    <t xml:space="preserve">Dualdetach Carrierdetach 전장용 </t>
    <phoneticPr fontId="1" type="noConversion"/>
  </si>
  <si>
    <t xml:space="preserve">ITS 각인 일반용  </t>
    <phoneticPr fontId="1" type="noConversion"/>
  </si>
  <si>
    <t>Dualdetach Carrierdetach</t>
    <phoneticPr fontId="1" type="noConversion"/>
  </si>
  <si>
    <t>2024.12.09</t>
    <phoneticPr fontId="1" type="noConversion"/>
  </si>
  <si>
    <t xml:space="preserve">ITS 각인 전장용  </t>
    <phoneticPr fontId="1" type="noConversion"/>
  </si>
  <si>
    <t>ITS 각인</t>
  </si>
  <si>
    <t>ITS 각인</t>
    <phoneticPr fontId="1" type="noConversion"/>
  </si>
  <si>
    <t>2023.05.19</t>
    <phoneticPr fontId="1" type="noConversion"/>
  </si>
  <si>
    <t xml:space="preserve"> [VDA 6.3] 생산 프로세스 반복 릴리즈에서 고려해야 할 사항이 아닌 것은?
     ① 승인은 승인 기준에 따라 권한을 부여 받은 직원이 수행해야 한다.
     ② 일상적인 생산 시 생산 가동 승인, 계획된 정지에 대한 생산 가동 승인은 꼭 필요한 것은 아니다.
     ③ 검사 항목이 한도 견본으로 확인 가능하다.
     ④ 불가피하게 승인 시간이 지연된다면, 샘플을 승인할 때까지 제품을 분리하고 진행한다.</t>
    <phoneticPr fontId="1" type="noConversion"/>
  </si>
  <si>
    <t>ITS 각인 좌표(PNL 상 각인 위치, 4L 외층 기준)가 알맞은 것은?
     ① 4L - 장축 3.5mm / 단축 272mm
     ② 4L - 장축 272mm / 단축 3.5mm 
     ③ 4L - 장축 8mm / 단축 282mm
     ④ 4L - 장축 282mm / 단축 8mm</t>
    <phoneticPr fontId="1" type="noConversion"/>
  </si>
  <si>
    <t>ITS 각인기 Power 측정 시 관리 범위를 벗어났을 때 조치 방법으로 알맞은 것은?
     ① 설비 초기화 후 재측정    
     ② Attenuator 미세 조정 후 재측정  
     ③ Laser Power On/Off 후 재측정 
     ④ 작업 중지</t>
    <phoneticPr fontId="1" type="noConversion"/>
  </si>
  <si>
    <t xml:space="preserve">제품 적치 방법으로 알맞은 것은?
     ① Check Hole이 우측 하단으로 적치      
     ② Check Hole이 좌측 상단으로 적치
     ③ Check Hole이 좌측 하단으로 적치      
     ④ Check Hole이 우측 상단으로 적치 </t>
    <phoneticPr fontId="1" type="noConversion"/>
  </si>
  <si>
    <t>현장 출입 및 작업 전 지켜야 할 기본지키기에 관한 예시 입니다. 틀린 규정을 찾아 주세요.
      ① 장갑 착용 전에 로션과 크림은 바르지 않기
      ② 반지, 팔찌, 시계 등 액세서리 착용하지 않기
      ③ 마스크는 필히 착용, 공정별 지정 의류 착용하기
      ④ 장갑은 남용하지 않고 하루 1켤레 기준으로 사용하기</t>
    <phoneticPr fontId="1" type="noConversion"/>
  </si>
  <si>
    <t/>
  </si>
  <si>
    <t xml:space="preserve">X-Ray </t>
    <phoneticPr fontId="1" type="noConversion"/>
  </si>
  <si>
    <t xml:space="preserve">X-Ray 전장용 </t>
  </si>
  <si>
    <t xml:space="preserve">수입검사 일반용 </t>
  </si>
  <si>
    <t xml:space="preserve">수입검사 전장용 </t>
  </si>
  <si>
    <t xml:space="preserve">출하검사 일반용 </t>
  </si>
  <si>
    <t>2023.05.22</t>
    <phoneticPr fontId="1" type="noConversion"/>
  </si>
  <si>
    <t>출하검사</t>
    <phoneticPr fontId="1" type="noConversion"/>
  </si>
  <si>
    <t>김정호</t>
    <phoneticPr fontId="1" type="noConversion"/>
  </si>
  <si>
    <t>2023.05.03</t>
    <phoneticPr fontId="1" type="noConversion"/>
  </si>
  <si>
    <t>수입검사</t>
    <phoneticPr fontId="1" type="noConversion"/>
  </si>
  <si>
    <t>2023.03.22</t>
    <phoneticPr fontId="1" type="noConversion"/>
  </si>
  <si>
    <t>액분석</t>
    <phoneticPr fontId="1" type="noConversion"/>
  </si>
  <si>
    <t>2023.05.17</t>
    <phoneticPr fontId="1" type="noConversion"/>
  </si>
  <si>
    <t>수직흑화 전장용</t>
    <phoneticPr fontId="1" type="noConversion"/>
  </si>
  <si>
    <t>PRESS 전장용</t>
    <phoneticPr fontId="1" type="noConversion"/>
  </si>
  <si>
    <t>PRESS 일반용</t>
    <phoneticPr fontId="1" type="noConversion"/>
  </si>
  <si>
    <t>CZ 전처리 전장용</t>
    <phoneticPr fontId="1" type="noConversion"/>
  </si>
  <si>
    <t>CZ 전처리 일반용</t>
    <phoneticPr fontId="1" type="noConversion"/>
  </si>
  <si>
    <t>액분석 일반용</t>
    <phoneticPr fontId="1" type="noConversion"/>
  </si>
  <si>
    <t>CZ전처리</t>
    <phoneticPr fontId="1" type="noConversion"/>
  </si>
  <si>
    <t>이왕건</t>
    <phoneticPr fontId="1" type="noConversion"/>
  </si>
  <si>
    <t>CZ처리 건조</t>
    <phoneticPr fontId="1" type="noConversion"/>
  </si>
  <si>
    <t>2023.04.10</t>
    <phoneticPr fontId="1" type="noConversion"/>
  </si>
  <si>
    <t>Lay-up</t>
    <phoneticPr fontId="1" type="noConversion"/>
  </si>
  <si>
    <t>2023.04.07</t>
    <phoneticPr fontId="1" type="noConversion"/>
  </si>
  <si>
    <t>PRESS</t>
    <phoneticPr fontId="1" type="noConversion"/>
  </si>
  <si>
    <t>2023.04.05</t>
    <phoneticPr fontId="1" type="noConversion"/>
  </si>
  <si>
    <t>노바본드</t>
    <phoneticPr fontId="1" type="noConversion"/>
  </si>
  <si>
    <t>2023.03.17</t>
    <phoneticPr fontId="1" type="noConversion"/>
  </si>
  <si>
    <t>수직흑화</t>
    <phoneticPr fontId="1" type="noConversion"/>
  </si>
  <si>
    <t>2023.05.02</t>
    <phoneticPr fontId="1" type="noConversion"/>
  </si>
  <si>
    <t>Brown OXIDE</t>
    <phoneticPr fontId="1" type="noConversion"/>
  </si>
  <si>
    <t>김광호</t>
    <phoneticPr fontId="1" type="noConversion"/>
  </si>
  <si>
    <t>2021.10.05</t>
    <phoneticPr fontId="1" type="noConversion"/>
  </si>
  <si>
    <t>Brown OXIDE 일반용</t>
    <phoneticPr fontId="1" type="noConversion"/>
  </si>
  <si>
    <t>Brown OXIDE 전장용</t>
    <phoneticPr fontId="1" type="noConversion"/>
  </si>
  <si>
    <t>1,3</t>
    <phoneticPr fontId="1" type="noConversion"/>
  </si>
  <si>
    <t>Bronw OXIDE 일반용</t>
  </si>
  <si>
    <t>기판 표면을 활성화시켜 OXIDE 반응성을 높여준다.</t>
  </si>
  <si>
    <t>Brown OXIDE 처리 공정 설비 확인사항(월간 점검)을 서술하시오.</t>
  </si>
  <si>
    <t xml:space="preserve">[VDA 6.3] 입고 자재가 적절하게 보관되어 있고, 입고 자재의 특별특성을 위하여 운송/포장 설비 수단의 내용으로 거리가 먼 것은?
    ① CSR/CR에 따른 포장 사양은 반드시 검토 및 반영되어야 한다. 
    ② 보관 용기의 주기적 청소 및 모니터링을 실시해야 한다.
    ③ 유수명 자재 관리는 모니터링에서 제외가 가능하다. 
    ④ 보관 장소의 청결 및 상태가 적절히 관리되어야 한다. 
</t>
    <phoneticPr fontId="1" type="noConversion"/>
  </si>
  <si>
    <t xml:space="preserve"> 1. OXIDE조 건욕주기 확인 후 액건욕/액이송 본조 내부 청소
    2. Cleaner, Pre-Dip액 건욕주기 확인 후 액건욕/본조 내부 청소
    3. 설비 콘베이어 롤라/노즐청소</t>
  </si>
  <si>
    <t>Dummy CCL 매수 : 50매 진행 후 E/R 확인
   → 24시간 미만 비가동 검증에 대하여는 작업일보에 더미 진행 수량 및 확인 E/R 값 기록한다.</t>
  </si>
  <si>
    <t>Pre-Dip (ORC-240A) 역할은 무엇인지 작성하시오.</t>
    <phoneticPr fontId="1" type="noConversion"/>
  </si>
  <si>
    <t>V-PERSS 성형 前 에칭 약품으로 동박표면에 조도(거칠기)를 형성하여 PPG와 동박의 밀착력을 향상시키기 위한 공정</t>
    <phoneticPr fontId="1" type="noConversion"/>
  </si>
  <si>
    <t>"Plate Mark" 란 무엇인가?</t>
    <phoneticPr fontId="1" type="noConversion"/>
  </si>
  <si>
    <t>페놀프탈레인,
자주색 → 무색</t>
    <phoneticPr fontId="1" type="noConversion"/>
  </si>
  <si>
    <t>과산화수소(H2O2)</t>
    <phoneticPr fontId="1" type="noConversion"/>
  </si>
  <si>
    <t>수직 흑화 Post Dip 6220 농도 분석 시, 사용되는 약품 중 1가지 이상 쓰시오.</t>
    <phoneticPr fontId="1" type="noConversion"/>
  </si>
  <si>
    <t>[VDA 6.3] 입고 자재가 적절하게 보관되어 있고, 입고 자재의 특별특성을 위하여 운송, 포장 설비 수단의 내용으로 거리가 먼 것은?
     ① CSR/CR에 따른 포장 사양은 반드시 검토 및 반영되어야 한다.
     ② 보관 용기의 주기적 청소 및 모니터링을 실시해야 한다.
     ③ 유수명 자재 관리는 모니터링에서 제외가 가능하다.
     ④ 보관 장소의 청결 및 상태가 적절히 관리되어야 한다.</t>
    <phoneticPr fontId="1" type="noConversion"/>
  </si>
  <si>
    <t xml:space="preserve">  </t>
    <phoneticPr fontId="1" type="noConversion"/>
  </si>
  <si>
    <t>아래 사진은 일상 점검표 기록 시 오타 등에 대한 수정 방법입니다. 바르게 수정한 것은 어떤 것일까요?
     ① 볼펜으로 긋고 수정
     ② 덧칠하여 굵게 수정
     ③ 수정펜을 사용하여 수정
     ④ 빨간펜으로 긋고 수정 (수정자 서명기입)</t>
    <phoneticPr fontId="1" type="noConversion"/>
  </si>
  <si>
    <t xml:space="preserve">아래는 대차 이동 모습입니다. 안전하게 이동하는 모습은 어떤 모습일까요?
      ① 대차 진행 방향 뒤쪽에서 제품을 잡고 이동한다. 
      ② 진행 방향 앞 쪽에서 대차 손잡이를 잡고 이동한다.
      ③ 진행 방향 뒤 쪽에서 대차 손잡이를 잡고 이동한다. 
      ④ 대차 진행 방향 앞 쪽에서 제품을 잡고 이동한다. </t>
    <phoneticPr fontId="1" type="noConversion"/>
  </si>
  <si>
    <t>아래 항목은 현장에 반입해서는 안되는 물품입니다. 해당하지 않은 것은 무엇일까요?
      ① 음식, 음료 등 (음료용 텀블러)                             
      ② 출입 규정상 허가된 물품 및 복장
      ③ 모자, 목도리, 개인 장갑, 개인 신발 등               
      ④ 액세서리 (반지, 팔찌 등) , 이어폰 (블루투스)</t>
    <phoneticPr fontId="1" type="noConversion"/>
  </si>
  <si>
    <t>아래 항목은 현장에 반입해서는 안되는 물품입니다. 해당하지 않은 것은 무엇일까요?
      ① 음식, 음료 등 (음료용 텀블러)                             
      ② 회사 지정 의류 외 개인 발진성 의류
      ③ 모자, 목도리, 개인 장갑, 개인 신발 등               
      ④ 출입 규정상 허가된 물품 및 복장</t>
    <phoneticPr fontId="1" type="noConversion"/>
  </si>
  <si>
    <t>아래 장갑 종류와 사용 방법에 대한 서술 중 틀린 것을 선택해 주세요.  
      ① PU 장갑 : 근무 간 기본 착용, 전 공정 공통
      ② PVC장갑 : 제품 취급시, 수직(노바)흑화, CZ전처리, Lay-up
      ③ 내산 장갑 : PM 및 약품 취급시 사용, 수직(노바)흑화, CZ전처리
      ④ PU장갑 : 설비 이상 제품 취급시, 수직(노바)흑화, CZ전처리, Lay-up</t>
    <phoneticPr fontId="1" type="noConversion"/>
  </si>
  <si>
    <t xml:space="preserve">근무 시 어려운 용어로 인해 이해가 안되는 부분에 대해서 어떻게 해야 할까요?
      ① 일단 이해한 척 하고 나중에 다시 생각해본다.
      ② 시간이 지나면 알게 될 것이다 라고 생각하고 지나친다.
      ③ 선임자에게 용어의 뜻에 대해 물어보고 이해가 될 때까지 확인한다.
      ④ 자존심은 상할 수 없다. 모르면 모르는 대로 지내면 된다. </t>
    <phoneticPr fontId="1" type="noConversion"/>
  </si>
  <si>
    <t xml:space="preserve">작업 방법과 조건 설정에 대해 선임에게 설명을 들었어도 이해가 되지 않을 때는 어떻게 해야 할까요?
     ① 잘 모르겠다.                                                                          
     ② 보던 대로 그냥 따라하면 된다.
     ③ 선임이 알아서 잘하는데 시간이 지나면 알게 된다.    
     ④ 선임에게 다시 물어보거나 비치된 작업표준문서를 확인해본다. </t>
    <phoneticPr fontId="1" type="noConversion"/>
  </si>
  <si>
    <t>트리밍(고다층) 기준, 신공정 Code로 맞은 것은?
     ① F70
     ② F72
     ③ F74
     ④ F78</t>
    <phoneticPr fontId="1" type="noConversion"/>
  </si>
  <si>
    <t>위치 확인 홀을 확인했다고 표시하는 항목은? 
     ① 제품 더미에 Lot No기록
     ② 작업 일보 Lot No 기록
     ③ 제조 지시서 Lot No기록
     ④ 위치 확인 홀 옆 Lot No기록</t>
    <phoneticPr fontId="1" type="noConversion"/>
  </si>
  <si>
    <t xml:space="preserve">아래 어떤 제품에 대해 1Cycle 4축에 대해 동일 관리 번호로 작업을 해야 하는가?
     ① 가접 제품
     ② EPP 제품
     ③ SIP 고다층 제품
     ④ 메탈 제품
</t>
    <phoneticPr fontId="1" type="noConversion"/>
  </si>
  <si>
    <t>[VDA 6.3] 적층 후 기포(Voids)가 발생하는 주요 원인은?
     ① 자재 색상 차이
     ② 온도/압력 조건 불량 또는 이물 혼입
     ③ 작업시간 부족
     ④ 장갑 미착용</t>
  </si>
  <si>
    <t>[VDA 6.3] 작업 표준서와 다른 방법으로 작업해도 되는 경우는?
     ① 더 빠른 방법이면 가능
     ② 품질에 문제 없다고 판단되면 가능
     ③ 관리자 승인 없이 가능
     ④ 승인 없이 변경하면 안 된다</t>
  </si>
  <si>
    <t>Dual Detach 공정코드로 옳은 것은?
     ① 423 Dual Detach
     ② 4AQ Dual Detach
     ③ 4QA Dual Detach
     ④ 4BQ Dual Detach</t>
  </si>
  <si>
    <t>Dual Detach 분리기에서 블레이드 표면 확인 방법은 ?
     ① 찍힘이 없을 것
     ② 상처가 없을 것
     ③ 찍힘,상처가 없을 것
     ④ 찍힘, 상처, 스크래치가 없을 것</t>
  </si>
  <si>
    <t xml:space="preserve">Carrier Detach 공정 작업 시작 순서로 옳은 것은?
     ① 제품에 적혀 있는 Lot No와 제조지시서 일치성 확인 → Lot 카드와 전산의 일치여부 확인 → Barcode로 전산 시작입력
     ② Barcode로 전산 시작입력 → Lot 카드와 전산의 일치여부 확인 → 제품에 적혀 있는 Lot No와 제조지시서 일치성 확인
     ③ Lot 카드와 전산의 일치여부 확인 → 제품에 적혀 있는 Lot No와 제조지시서 일치성 확인 → Barcode로 전산 시작입력
     ④ Lot 카드와 전산의 일치여부 확인 → Barcode로 전산 시작입력
</t>
  </si>
  <si>
    <t>Carrier Detach 공정에서 제품 산화 방지를 위한 행동 중 옳지 않은 것은? 
     ① 간지를 덮어 놓으면 안된다.
     ② 장갑을 착용해야 한다.
     ③ 마스크를 착용해야 한다.
     ④ 작업 후 Lot는 간지를 덮는다.</t>
  </si>
  <si>
    <t xml:space="preserve">Dual Detach 공정에서 나올 수 없는 불량은?
     ① 구김 불량 : 제품 취급 과정에서의 구김 발생
     ② 파손 불량 : 취급성 또는 레진붙음, 액침투에 의한 파손 발생
     ③ 휨 불량 : 분리 방법 미 준수에 의한 휨 발생
     ④ 적층 이물 : 제품 취급 중 이물이 제품에 전이되어 불량 발생
</t>
  </si>
  <si>
    <t xml:space="preserve">4
</t>
  </si>
  <si>
    <t xml:space="preserve">급 부주의에 의한 상처 불량을 발생을 zero 하여 품질 안정화에 기여 한 것은?
     ① Edgo 안쪽 touch 금지
     ② 이동 시 손으로 잡고 판을 들고 이동한다.
     ③ 제품 안쪽에 손이 닿게 잡고 이동한다.
     ④ 기판을 한손으로 취급한다,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</si>
  <si>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3정 5S' 항목을 바르게 나열한 것은?
     ① 3정(정품/정량/정돈)        5S(정리/정위치/청소/청결/습관화)
     ② 3정(정품/정량/정위치)      5S(정리/정돈/청소/청결/습관화)
     ③ 3정(정품/정리/정돈)        5S(정량/정위치/청소/청결/습관화)
     ④ 3정(습관화/정량/정위치)    5S(정리/정위치/청소/청결/정품)
</t>
  </si>
  <si>
    <t>Dual Detach 분리기에서 블레이드 속도 기준으로 맞는것은?
     ①  8~9m/min
     ② 8.2~9m/min
     ③ 8~9.2m/min
     ④ 8.2~9.2m/min</t>
  </si>
  <si>
    <t>Dual Detach Cutting 시 PLP 제품 커팅 Spec 은?
     ① 3mm 이하
     ② 4mm 이하
     ③ 5mm 이하
     ④ 6mm 이하</t>
  </si>
  <si>
    <t xml:space="preserve">제품의 수량 단위가 아닌 것은?
     ① Lot
     ② Strip
     ③ Pcs
     ④ mm
</t>
  </si>
  <si>
    <t>Dual Detach Cutting시 Plat Bar 관리 기준은?
     ①  마모 없을 것
     ② 3mm 이하일 것
     ③ 2mm 이하일 것
     ④ 1mm 이하일 것</t>
  </si>
  <si>
    <t>혼입 방지 및 예방을 위한 내용 중 옳지 않은것은? 
     ① 제조지시서와 제품의 일치성을 확인해야 한다.
     ② 제조지시서와 이전공정에서 제품에 기록한 Lot No의 일치성을 확인해야 한다.
     ③ 전산 MES와 실수량 및 제조지시서의 수량 일치성을 확인해야 한다.
     ④ 전산 MES와 제조지시서만 일치하면 된다.</t>
  </si>
  <si>
    <t>Dual Detach 분리기 후 적재 방법으로 맞는 것은?
     ① Box내 자Lot 하부, 모Lot 상부 적재
     ② Box내 모Lot 하부, 자Lot 상부 적재
     ③ Box내 자Lot ,모Lot 구분만 되면 됨
     ④ Box내 자Lot, 모Lot 구분 관계 없으며 수량만 맞으면 됨</t>
  </si>
  <si>
    <t>Carrier Detach 공정코드로 옳은 것은?
     ① 4BN Carrier Detach
     ② 423 Carrier Detach 
     ③ 4AN Carrier Detach
     ④ 4BM Carrier Detach</t>
  </si>
  <si>
    <t xml:space="preserve">Carrier Detach 공정에서 나올 수 있는 불량이 일치하는 것은? 
     ① 기판 파손, 액침투, Dent
     ② 기판 파손, 상처, Scratch
     ③ 적층이물, 상처, Scratch
     ④ 기판 파손, 액침투, 레진붙음
</t>
  </si>
  <si>
    <t xml:space="preserve">Dual Detach Cutting 후 PLP 제품 자주검사 주기는?
     ① 초품/Lot
     ② 초품,말품/조
     ③ 말품/Lot
     ④ 초품,말품/Lot
</t>
  </si>
  <si>
    <t>Dual Detach Cutting 시 PLP 제품 자주검사 항목으로 맞는것은?
     ① 커팅 Size를 측정한다.
     ② 상처 및 스크래치를 검사한다.
     ③ 적층이물을 검사한다.
     ④ 제품 Size를 측정한다.</t>
  </si>
  <si>
    <t>Dual Detach 공정 분리기에서 진공 테이블 점검 주기로 맞는것은 ? 
     ① 1회/주
     ② 1회/일
     ③ 1회/월
     ④ 1회/분기</t>
  </si>
  <si>
    <t xml:space="preserve">18 ㎛  </t>
  </si>
  <si>
    <t xml:space="preserve">Carrier Detach 공정에서 제품 산화 방지를 위한 행동 중 옳지 않은 것은? 
     ① 간지를 덮어 놓으면 안된다.
     ② 장갑을 착용해야 한다.
     ③ 마스크를 착용해야 한다.
     ④ 작업 후 Lot는 간지를 덮는다.
</t>
    <phoneticPr fontId="1" type="noConversion"/>
  </si>
  <si>
    <t>[VDA 6.3] 생산 프로세스 반복 릴리즈에서 고려해야 할 사항이 아닌 것은?
     ① 승인은 승인 기준에 따라 권한을 부여 받은 직원이 수행해야 한다.
     ② 일상적인 생산 시 생산 가동 승인, 계획된 정지에 대한 생산 가동 승인은 꼭 필요한 것은 아니다.
     ③ 검사 항목이 한도 견본으로 확인 가능하다.
     ④ 불가피하게 승인 시간이 지연된다면, 샘플을 승인할 때까지 제품을 분리하고 진행한다.</t>
    <phoneticPr fontId="1" type="noConversion"/>
  </si>
  <si>
    <t>ITS 각인 목적으로 알맞은 것은?
     ① 제품 혼입 방지를 위함   
     ② 제품에 Numbering을 위함
     ③ Via Hole의 재현을 위함
     ④ 관통 Hole의 재현을 위함</t>
    <phoneticPr fontId="1" type="noConversion"/>
  </si>
  <si>
    <t>ITS 각인기에서 설비 중점 관리 항목 2가지를 고르시오.
     ① 냉각 칠러     
     ② Loader부     
     ③ Unloader부     
     ④ Laser 발진기    
     ⑤ 제품 이동 PAD</t>
    <phoneticPr fontId="1" type="noConversion"/>
  </si>
  <si>
    <t>ITS 각인기 Air 압력 관리 범위는? 
     ① 0.5±0.1㎫ 
     ② 0.6±0.1㎫
     ③ 0.52±0.5㎫
     ④ 0.5±0.2㎫</t>
    <phoneticPr fontId="1" type="noConversion"/>
  </si>
  <si>
    <t xml:space="preserve">각인실 내 온도 관리 범위는?
     ① 22℃±2℃
     ② 23℃±2℃
     ③ 22℃±2℃,-3℃
     ④ 23℃±2℃,-3℃ </t>
    <phoneticPr fontId="1" type="noConversion"/>
  </si>
  <si>
    <t>각인실 내 습도 관리 범위는?
     ① 40℃±10℃
     ② 50℃±10℃
     ③ 40℃±20℃,-10℃
     ④ 40℃±10℃,-20℃</t>
    <phoneticPr fontId="1" type="noConversion"/>
  </si>
  <si>
    <t>ITS 냉각 칠러 온도 관리 범위는?
     ① 20℃±2℃
     ② 20℃±1℃
     ③ 22℃±2℃
     ④ 22℃±1℃</t>
    <phoneticPr fontId="1" type="noConversion"/>
  </si>
  <si>
    <t xml:space="preserve">3정 5S'의 3정 항목을 바르게 나열한 것은?  
     ① 3정(정품/정량/정돈)
     ② 3정(정품/정량/정위치)
     ③ 3정(정품/정리/정돈)
     ④ 3정(습관화/정량/정위치) </t>
    <phoneticPr fontId="1" type="noConversion"/>
  </si>
  <si>
    <t>제품의 수량 단위가 아닌 것은?
     ① Lot
     ② Strip
     ③ Pcs
     ④ mm</t>
    <phoneticPr fontId="1" type="noConversion"/>
  </si>
  <si>
    <t>2D Bar code 가공 완료 후 검사 항목으로 알맞은 것은?
     ① 각인 Hole의 관통 유무 및 제품 Size
     ② 각인 Hole의 가공 주위 Burr 및 제품 Size
     ③ 각인 Hole의 관통 유무 및 각인 위치
     ④ 각인 Hole의 가공 주위 Burr 및 제품 위치</t>
    <phoneticPr fontId="1" type="noConversion"/>
  </si>
  <si>
    <t xml:space="preserve">X-ray 인식기 설비 Program이 아닌 것은?
      ① L4 405-415
      ② 6L-405
      ③ 6L-415
      ④ 1L-405 </t>
    <phoneticPr fontId="1" type="noConversion"/>
  </si>
  <si>
    <t xml:space="preserve">Carrier Detach 공정에서 벗겨야 하는 Carrier동박의 위치는?
 ①                                    ②                                  ③                                    ④
</t>
  </si>
  <si>
    <t xml:space="preserve">Carrier Detach 공정  제조지시서의 제품코드 “03BGASEMBLDN” 제품의 탈착 위치로 옳은 것은? 
 ①                                  ②                                   ③                                    ④
</t>
  </si>
  <si>
    <t>4500회 이하</t>
  </si>
  <si>
    <t xml:space="preserve"> Dual Detach 공정은 무엇을 하는 공정인지 설명을 해보세요?
</t>
  </si>
  <si>
    <t>제품의 수량 단위가 아닌 것은?
    ① Lot     ② Sheet     ③ Pcs     ④ mm</t>
    <phoneticPr fontId="1" type="noConversion"/>
  </si>
  <si>
    <t>PIN 교환 시 펀치가 스트리퍼 안쪽으로 몇 mm 안으로 들어가게 설정하는가?
    ① 0.1mm     ② 0.2mm     ③ 0.3mm     ④ 0.4mm</t>
    <phoneticPr fontId="1" type="noConversion"/>
  </si>
  <si>
    <t>X-ray 펀칭기에서 중점 관리 항목 2가지를 고르시오.
    ① Punch Pin     ② Loader부     ③ Unloader부     ④ Punch Die     ⑤ Unloader PAD</t>
    <phoneticPr fontId="1" type="noConversion"/>
  </si>
  <si>
    <t xml:space="preserve">MXP-908 설비의 설명으로 맞는 것은?
   ① Laser Hole 가공 설비     ② Router 가공 설비     ③ Bit Type 가공 설비     ④ Punch Type 가공 설비
</t>
    <phoneticPr fontId="1" type="noConversion"/>
  </si>
  <si>
    <t>X-ray Drill 한송(2호기) 설비의 집진 주파수 압력 관리 범위는?
   ① 50㎐±20㎐     ② 60㎐±20㎐     ③ 70㎐±20㎐     ④ 80㎐±20㎐</t>
    <phoneticPr fontId="1" type="noConversion"/>
  </si>
  <si>
    <t xml:space="preserve">X-ray Drill 설비 Air 압력 관리 범위는?
   ① 0.5±0.1㎫     ② 0.5±0.2㎫     ③ 0.6±0.1㎫     ③ 0.7±0.1㎫ </t>
    <phoneticPr fontId="1" type="noConversion"/>
  </si>
  <si>
    <t>X-ray 홀 가공의 ∮는?
   ① 3.14∮     ② 3.15∮     ③ 3.165∮     ④ 3.175∮</t>
    <phoneticPr fontId="1" type="noConversion"/>
  </si>
  <si>
    <t>X-ray Hole 가공 후 자주검사 항목으로 알맞은 것은?
   ① 홀 경 검사, Hole Burr, 홀 축소
   ② 기판 Size, 홀 편심 검사, 홀 경 검사
   ③ 홀 편심 검사, 홀 경 검사, 홀 Burr 검사 
   ④ 홀 경 검사, 기판 Size 검사, 홀 편심 검사</t>
    <phoneticPr fontId="1" type="noConversion"/>
  </si>
  <si>
    <t>홀 3.15Ø를 기준으로 홀 경 측정 시 사용하는 Pin Gauge의 종류로 맞지 않는 것은? 
   ① 3.130     ② 3.150     ③ 3.165     ④ 3.175</t>
    <phoneticPr fontId="1" type="noConversion"/>
  </si>
  <si>
    <t>X-ray 작업 전 Zero Set을 설정하지 않을 때 발생할 수 있는 불량은?
   ① 홀 확장      ② 홀 편심      ③ 오관통      ④ 기판파손</t>
    <phoneticPr fontId="1" type="noConversion"/>
  </si>
  <si>
    <t>홀 편심 알람 발생 시 조치 내용으로 맞는 것은? 
   ① 무시 후 정상 진행     ② 설비 Main 전원 OFF/ON     ③ Zero Set 재실시     ④ Slip 값 상향 변경</t>
    <phoneticPr fontId="1" type="noConversion"/>
  </si>
  <si>
    <t>X-ray 펀칭기에서 중점 관리 항목 2가지를 고르시오. 
    ① Punch Pin     ② Loader부     ③ Unloader부     ④ Punch Die     ⑤ Unloader PAD</t>
    <phoneticPr fontId="1" type="noConversion"/>
  </si>
  <si>
    <t>X-ray 홀 펀칭(MXP-908) 관리 Hit 수는?
     ① 100회      ② 1000회      ③ 10000회     ④ 100000회</t>
    <phoneticPr fontId="1" type="noConversion"/>
  </si>
  <si>
    <t>X-ray 홀 펀치 Air 압력 관리 범위는?
    ① 0.5±0.1㎫     ② 0.5±0.2㎫     ③ 0.6±0.1㎫     ③ 0.7±0.1㎫</t>
    <phoneticPr fontId="1" type="noConversion"/>
  </si>
  <si>
    <t>VDA 6.3] VDA 프로세스 심사 시 문항 평가를 위한 적절한 배점으로 판단하기 어려운 것은?
    ① 고객 요구 사항(System적) 누락 및 미반영 : 0점
    ② 변경점 고객 미합의 및 미통보 : 0점
    ③ 개발 실행 PPAP 승인 누락 : 0점
    ④ 부적합품 기록 관리 누락 : 0점</t>
    <phoneticPr fontId="1" type="noConversion"/>
  </si>
  <si>
    <t>VDA 6.3] 입고 자재가 적절하게 보관되어 있고, 입고 자재의 특별특성을 위하여 운송/포장 설비 수단의 내용으로 거리가 먼 것은?
     ① CSR/CR에 따른 포장 사양은 반드시 검토 및 반영되어야 한다. 
     ② 보관 용기의 주기적 청소 및 모니터링을 실시해야 한다.
     ③ 유수명 자재 관리는 모니터링에서 제외가 가능하다. 
     ④ 보관 장소의 청결 및 상태가 적절히 관리되어야 한다.</t>
    <phoneticPr fontId="1" type="noConversion"/>
  </si>
  <si>
    <t>X-ray Drill 설비 유량 관리 범위는?
     ① 중 이하     ② 상 이상     ③ 하 이상     ④ 중 이상</t>
    <phoneticPr fontId="1" type="noConversion"/>
  </si>
  <si>
    <t xml:space="preserve"> 다음 중 BGA Target간 거리 값 Spec은 500±(     ) 무엇인가?
     ① 0.5     ② 1     ③ 2     ④ 3</t>
    <phoneticPr fontId="1" type="noConversion"/>
  </si>
  <si>
    <t>[VDA 6.3] 불량품은 어떻게 관리해야 하는가?
     ① 정상품과 함께 보관
     ② 표시 없이 폐기
     ③ 식별 표시 후 격리 보관
     ④ 재작업 라인에 무조건 투입</t>
    <phoneticPr fontId="1" type="noConversion"/>
  </si>
  <si>
    <t>[VDA 6.3] 작업표준서 개정본이 배포되었을 때 작업자의 올바른 행동은?
     ① 이전 방법이 익숙하므로 그대로 작업
     ② 새 표준서를 확인 후 작업
     ③ 동료에게 물어보고 결정
     ④ 필요할 때만 확인</t>
    <phoneticPr fontId="1" type="noConversion"/>
  </si>
  <si>
    <t>수입 검사 시 필요로 하는 보호구는? 
     ① 장갑     ② 보안경     ③ 안전화     ④ 귀마개</t>
    <phoneticPr fontId="1" type="noConversion"/>
  </si>
  <si>
    <t>작업 표준서의 내용을 작성 시 4M을 기준으로 작성한다. 4M이 아닌 것은?
     ① 사람(MAN)     ② 자금(MONEY)     ③ 방법(METHOD)     ④ 설비(MACHINE)</t>
    <phoneticPr fontId="1" type="noConversion"/>
  </si>
  <si>
    <t>SUS PLATE 외관 검사 항목이 아닌 것은?
    ① 표면 고정성 이물이 없을 것
    ② 굴곡 및 표면 파임이 없을 것
    ③ 표면 SCRATCH, 홈이 없을 것
    ④ 표면에 물이 묻어 있는 경우</t>
    <phoneticPr fontId="1" type="noConversion"/>
  </si>
  <si>
    <t>Dry Film 검사 시 확인사항이 아닌 것은?
    ① 고체성 이물이 있어도 상관없다.
    ② 제품 자재의 유효 기간은 제조일로부터 6개월로 한다.
    ③ 수입 검사 시 유효 기간으로부터 3개월 이전 제품만 허용한다.
    ④ 성적서 검사</t>
    <phoneticPr fontId="1" type="noConversion"/>
  </si>
  <si>
    <t>MLB용 내층 CCL 외관 확인사항이 아닌 것은?
    ① 회로 형성 후 동박 면에 산화가 없을 것
    ② 수량 확인
    ③ CCL 외곽에 꺾임이 없을 것
    ④ CCL 외곽에 파손된 부분이 없을 것</t>
    <phoneticPr fontId="1" type="noConversion"/>
  </si>
  <si>
    <t>UKP 입고 검사 시 검사 항목이 아닌 것은?
    ① Size     ② 두께     ③ 외관     ④ 생산 일자</t>
    <phoneticPr fontId="1" type="noConversion"/>
  </si>
  <si>
    <t>BGA CCL 및 PPG 수입 검사 항목이 아닌 것은?
    ① 수량     ② 외관     ③ 혼입 여부     ④ 치수</t>
    <phoneticPr fontId="1" type="noConversion"/>
  </si>
  <si>
    <t>UKP 외관 검사 규격이 아닌 것은?
    ① 홈 등 상처가 없을 것     ② 눌림이 없을 것     ③ 이물, 오염이 없을 것     ④ 수량 확인</t>
    <phoneticPr fontId="1" type="noConversion"/>
  </si>
  <si>
    <t>CCL 수입 검사 진행 시 주의사항이 아닌 것은?
    ① 제품 수량 파악 시 긁힘과 구김에 주의한다.
    ② 제품을 바닥에 놓지 않는다. (파렛트 위에 적재)
    ③ 수입 검사 대기, 검사, 투입 지정 장소에서 작업한다.
    ④ 제품을 맨 손으로 취급한다.</t>
    <phoneticPr fontId="1" type="noConversion"/>
  </si>
  <si>
    <t xml:space="preserve">다음 중 품질 비용이 아닌 것은? 
    ① 투자비     ② 예방비     ③ 평가비     ④ 실패비  </t>
    <phoneticPr fontId="1" type="noConversion"/>
  </si>
  <si>
    <t>RF PCB용 자재 검사 시 검사 항목이 아닌 것은?
    ① AL 구김이 없을 것     ② 유효기간     ③ Hole 위치     ④ Pin 간 거리</t>
    <phoneticPr fontId="1" type="noConversion"/>
  </si>
  <si>
    <t>3정 5S 항목에서 3정이 아닌 것은?
    ① 정품     ② 정량     ③ 정위치     ④ 정리</t>
    <phoneticPr fontId="1" type="noConversion"/>
  </si>
  <si>
    <t>자재 입고 검사 시 검사 항목이 아닌 것은?
    ① 포장 상태     ② 수량     ③ 유효기간     ④ 자재 내부 이물 검사</t>
    <phoneticPr fontId="1" type="noConversion"/>
  </si>
  <si>
    <t>SUS Plate 수입 검사 시 몇 Point 두께 측정을 하는가?
    ① 1Point     ② 2Point     ③ 3Point     ④ 4Point</t>
    <phoneticPr fontId="1" type="noConversion"/>
  </si>
  <si>
    <t>제품의 수량 단위가 아닌 것은?
    ① LOT     ② Sheet     ③ Pcs     ④ mm</t>
    <phoneticPr fontId="1" type="noConversion"/>
  </si>
  <si>
    <t>염산 35% 순도 분석 방법 시 색의 변화로 맞는 것은?
    ① 노란색 → 분홍색     ② 무색 → 분홍색     ③ 붉은색 → 노란색     ④ 붉은색 → 파란색</t>
    <phoneticPr fontId="1" type="noConversion"/>
  </si>
  <si>
    <t>HD 250(Cleaner) 약품 검사 시 비중 SPEC은?
    ① 1.020±0.01     ② 1.010±0.03     ③ 1.020±0.02     ④ 1.020±0.2</t>
    <phoneticPr fontId="1" type="noConversion"/>
  </si>
  <si>
    <t>LOT CARD에서 확인이 안되는 사항은? 
    ① 원판의 두께     ② 원판 제조 업체     ③ 원판의 방향성     ④ 제품 가격</t>
    <phoneticPr fontId="1" type="noConversion"/>
  </si>
  <si>
    <t>SEMBRID COPPER FOIL 검사 시 라벨에 표시되어 있지 않는 것은?
    ① 수량     ② 관리번호     ③ 유효기간     ④ 검사 방법</t>
    <phoneticPr fontId="1" type="noConversion"/>
  </si>
  <si>
    <t>KP-2(Pre-dip용) 산도 분석 계산식은? 
    ① 1N-NaOH㎖수*9.30     ② 1N-NaOH㎖수*9.35     ③ 1N-NaOH㎖수*9.25     ④ 1N-NaOH㎖수*9.40</t>
    <phoneticPr fontId="1" type="noConversion"/>
  </si>
  <si>
    <t>다음 중 용어 정의로 틀린 것은?
     ① Tape부착 : D/F 박리 또는 기판생성으로 공정 진행 위하여 임시 Tape 부착 현상
     ② 들뜸(부풀음) : 기판 표면 동박 들뜸
     ③ 동박 벗겨짐 : 표면 벗겨짐
     ④ 표면이상(산화) : 기판표면 산화</t>
    <phoneticPr fontId="1" type="noConversion"/>
  </si>
  <si>
    <t>[VDA 6.3] 작업자가 공정 중 관리한계(관리 기준값)를 벗어난 것을 발견했다. 가장 적절한 조치는?
     ① 제품이 정상처럼 보이면 계속 생산한다.
     ② 다음 교대자에게 전달만 한다.
     ③ 즉시 작업을 정지하고 보고 후 지침에 따른다.
     ④ 기록만 남기고 계속 진행한다.</t>
    <phoneticPr fontId="1" type="noConversion"/>
  </si>
  <si>
    <t>[VDA 6.3] 설비 조건이 승인된 조건과 다르게 설정되어 있었으나, 제품 검사 결과는 합격이었다. 올바른 판단은?
     ① 합격이므로 문제 없음
     ② 다음 LOT부터 수정.
     ③ 승인 조건과 다른 경우 부적합으로 보고하고 원인 확인
     ④ 작업자가 판단하여 수정</t>
    <phoneticPr fontId="1" type="noConversion"/>
  </si>
  <si>
    <t>[VDA 6.3] 특별 적성에 필요한 제조 요구사항을 틀린 것은?
    ① 공정 능력이 결정되어야 하고 그 성과가 검증되어야 한다.
    ② 고객 사양을 충족시킨다는 증거를 제시해야 한다.
    ③ 공정 능력 Cpk＞=1.67 보여줄 수 없다면 100% 전수 검사 필요함.
    ④ 공정 능력 Cpk＞=1.33 보여줄 수 없다면 100% 전수 검사 필요함.</t>
    <phoneticPr fontId="1" type="noConversion"/>
  </si>
  <si>
    <t>[VDA 6.3] 입고 자재의 보관에 대한 요구사항으로 틀린 것은?
    ① 의심 되는 격리된 제품은 권한이 없는 직원은 접근 할 수가 없다.
    ② 손상 및 오염으로부터 부품을 보호하는 운송 수단이 사용되어야 한다.
    ③ 추가로 가공될 경우 재고 자재의 수치는 실제 보관 수량과 불일치 할 수 있다.
    ④ 최종 제품의 품질에 영향을 줄 수 있는 자재의 경우 운송 및 보관 조건을 정하고 승인해야 한다.</t>
    <phoneticPr fontId="1" type="noConversion"/>
  </si>
  <si>
    <t>제품의 수량 단위가 아닌 것은?
    ① Lot     ② Sheet     ③ Pcs     ④ mm</t>
    <phoneticPr fontId="1" type="noConversion"/>
  </si>
  <si>
    <t>SUS PLATE 외관 검사 항목이 아닌 것은?
    ① 표면 고정성 이물이 없을 것
    ② 굴곡 및 표면 파임이 없을 것   
    ③ 표면 SCRATCH, 홈이 없을 것
    ④ 표면에 물이 묻어 있는 경우</t>
    <phoneticPr fontId="1" type="noConversion"/>
  </si>
  <si>
    <t>MLB용 내층 CCL 외관 확인사항이 아닌 것은?
    ① 회로 형성 후 동박 면에 산화 없을 것
    ② 수량 확인
    ③ CCL 외곽에 꺾임이 없을 것      
    ④ CCL 외곽에 파손된 부분이 없을 것</t>
    <phoneticPr fontId="1" type="noConversion"/>
  </si>
  <si>
    <r>
      <t>UKP 외관 검사 규격이 아닌 것은?
    ① 홈 등 상처가 없을 것
    ② 눌림이 없을 것
    ③ 이물, 오염이 없을 것</t>
    </r>
    <r>
      <rPr>
        <sz val="22"/>
        <color theme="1"/>
        <rFont val="Microsoft YaHei"/>
        <family val="3"/>
        <charset val="134"/>
      </rPr>
      <t xml:space="preserve">
</t>
    </r>
    <r>
      <rPr>
        <sz val="22"/>
        <color theme="1"/>
        <rFont val="돋움"/>
        <family val="3"/>
        <charset val="129"/>
      </rPr>
      <t xml:space="preserve">    ④ 수량 확인</t>
    </r>
    <phoneticPr fontId="1" type="noConversion"/>
  </si>
  <si>
    <t>CCL 수입 검사 진행 시 주의사항이 아닌 것은?
    ① 제품 수량 파악 시 긁힘과 구김에 주의한다.          
    ② 제품을 바닥에 놓지 않는다. (파렛트 위에 적재)
    ③ 수입 검사 대기, 검사, 투입 지정 장소에서 작업한다.  
    ④ 제품을 맨 손으로 취급한다.</t>
    <phoneticPr fontId="1" type="noConversion"/>
  </si>
  <si>
    <t>검사 시 필요로 하는 보호구는? 
    ① 장갑     ② 보안경     ③ 안전화     ④ 귀마개</t>
    <phoneticPr fontId="1" type="noConversion"/>
  </si>
  <si>
    <t>Dry Film 검사 시 확인사항이 아닌 것은?
    ① 고체성 이물이 있어도 상관없다. 
    ② 수입 검사 시 유효기간으로부터 3개월 이전 제품만 허용한다.
    ③ 성적서 검사             
    ④ 제품 자재의 유효기간은 제조일로부터 6개월로 한다.</t>
    <phoneticPr fontId="1" type="noConversion"/>
  </si>
  <si>
    <t>UKP 입고 검사 시 검사 항목이 아닌 것은? 
    ① Size     ② 두께     ③ 외관     ④ 생산 일자</t>
    <phoneticPr fontId="1" type="noConversion"/>
  </si>
  <si>
    <t>SEMBRID COPPER FOIL 검사 시 라벨에 표시되어 있지 않는 것은?
    ① 수량     ② 관리 번호     ③ 유효기간     ④ 검사 방법</t>
    <phoneticPr fontId="1" type="noConversion"/>
  </si>
  <si>
    <t>Lot CARD에서 확인이 안되는 사항은? 
    ① 원판의 두께     ② 원판 제조 업체     ③ 원판의 방향성     ④ 제품 가격</t>
    <phoneticPr fontId="1" type="noConversion"/>
  </si>
  <si>
    <t>HD 250(Cleaner) 약품 검사 시 비중의 SPEC은?
    ① 1.020±0.01     ② 1.010±0.03     ③ 1.020±0.02     ④ 1.020±0.2</t>
    <phoneticPr fontId="1" type="noConversion"/>
  </si>
  <si>
    <t xml:space="preserve"> KP-2(Pre-dip용) 산도 분석 계산식은? 
    ① 1N-NaOH㎖수*9.30     ② 1N-NaOH㎖수*9.35     ③ 1N-NaOH㎖수*9.25     ④ 1N-NaOH㎖수*9.40</t>
    <phoneticPr fontId="1" type="noConversion"/>
  </si>
  <si>
    <t>BGA 두께 측정 시 12Point를 측정하는 PNL 수는?
     ① 4     ② 5     ③ 6     ④ 7</t>
    <phoneticPr fontId="1" type="noConversion"/>
  </si>
  <si>
    <t>검사 시 표면 산화 방지를 위해 착용하는 보호구는?
     ① 장갑     ② 보안경     ③ 안전화     ④ 귀마개</t>
    <phoneticPr fontId="1" type="noConversion"/>
  </si>
  <si>
    <t>두께 측정 시 주의사항 및 조치사항이 아닌 것은?
     ① 테이블에 이물로 인하여 상처 불량이 발생하지 않도록 한다.   
     ② 두께 이상 발생 시 관리자에게 통보한다.
     ③ 제품에 Scratch가 생기지 않도록 한다.
     ④ 제품의 두께 Spec은 자체적으로 정한다.</t>
    <phoneticPr fontId="1" type="noConversion"/>
  </si>
  <si>
    <t>두께 측정기 측정 전 측정기의 측정 편차를 확인하는 시편은?
     ① 블럭 게이지     ② 필름자     ③ 버니어 켈리퍼스     ④ 마이크로 미터</t>
    <phoneticPr fontId="1" type="noConversion"/>
  </si>
  <si>
    <t>두께 측정 시 케리어 동박이 적용되어 Spec 검토를 해야 할 경우 추가되는 수치는?
     ① 32㎛     ② 33㎛     ③ 35㎛     ④ 36㎛</t>
    <phoneticPr fontId="1" type="noConversion"/>
  </si>
  <si>
    <t>외관 검사 항목 중 사용되는 검사 도구가 아닌 것은? 
     ① Pin Gage     ② 필름자     ③ Lupe(Scale Lupe)     ④ 두께 측정기</t>
    <phoneticPr fontId="1" type="noConversion"/>
  </si>
  <si>
    <t>작업 표준서의 내용을 작성 시 4M을 기준으로 작성한다. 4M이 아닌 것은? 
     ① 사람(MAN)     ② 자금(MONEY)     ③ 방법(METHO④)     ④ 설비(MACHINE)</t>
    <phoneticPr fontId="1" type="noConversion"/>
  </si>
  <si>
    <t>3정 5S 항목에서 3정이 아닌 것은?
     ① 정품     ② 정량     ③ 정위치     ④ 정리</t>
    <phoneticPr fontId="1" type="noConversion"/>
  </si>
  <si>
    <t>제품의 수량 단위가 아닌 것은? 
     ① Lot     ② Sheet     ③ Pcs     ④ mm</t>
    <phoneticPr fontId="1" type="noConversion"/>
  </si>
  <si>
    <t>BGA 성적서 출력 시 확인사항이 아닌 것은?
     ① 수량     ② 관리 번호     ③ 외관 불량 수량     ④ SPEC</t>
    <phoneticPr fontId="1" type="noConversion"/>
  </si>
  <si>
    <t>LOT CAR④에서 확인이 안 되는 사항은?
     ① 제품층 구조     ② 수량     ③ Lot No     ④ 적층 두께 Spec</t>
    <phoneticPr fontId="1" type="noConversion"/>
  </si>
  <si>
    <t>SUS Plate에 스크래치가 발생되어 적층 시 동박 표면에 전이되는 현상을 무엇이라고 하는가? 
     ① 타흔     ② Plate Mark     ③ 적층이물     ④ 기판파손</t>
    <phoneticPr fontId="1" type="noConversion"/>
  </si>
  <si>
    <t>Hole Size 검사 Spec은?
     ① 3.15±0.02mm     ② 3.15±0.03mm     ③ 3.15±0.04mm     ④ 3.15±0.01mm</t>
    <phoneticPr fontId="1" type="noConversion"/>
  </si>
  <si>
    <t>Hole Size 검사 시 Lot당 검사 수량은?
     ① 1Pnl     ② 2Pnl     ③ 3Pnl     ④ 4Pnl</t>
    <phoneticPr fontId="1" type="noConversion"/>
  </si>
  <si>
    <t>부적합 제품 구분 및 표시 방법이 옳은 것은? 
     ① 타흔 불량과 이물질 불량일 경우 제품 박스의 하단에 양품을 놓고 상단에 부적합품을 적재한다.
     ② 타흔 불량에 대해 해당 위치에 동그라미 표시를 한다.
     ③ 불량을 구분하기 위해 경계선을 쪽 간지로 구분 반출한다.   
     ④ 제품의 끝 부분을 접어 놓는다.</t>
    <phoneticPr fontId="1" type="noConversion"/>
  </si>
  <si>
    <t>[VDA 6.3] LOT 혼입 방지를 위해 가장 중요한 관리 요소는 무엇인가?
     ① 작업 속도
     ② 자재 식별 및 추적 관리
     ③ 작업자 숙련도
     ④ 생산 수량 목표</t>
    <phoneticPr fontId="1" type="noConversion"/>
  </si>
  <si>
    <t>[VDA 6.3] 고객 승인 없이 원자재 공급업체가 변경되었다면 어떤 리스크가 가장 큰가?
     ① 생산 일정 지연
     ② 작업자 혼란
     ③ 제품 신뢰성 및 고객 요구사항 미충족
     ④ 창고 공간 부족</t>
    <phoneticPr fontId="1" type="noConversion"/>
  </si>
  <si>
    <t>두께 측정기 측정 전 측정기의 측정 편차를 확인하는 시편은?
     ① 블럭 게이지
     ② 필름자
     ③ 버니어 켈리퍼스
     ④ 마이크로 미터</t>
    <phoneticPr fontId="1" type="noConversion"/>
  </si>
  <si>
    <t>출하 검사의 두께 측정 시 필수사항으로 옳지 않은 것은?
     ① 표준 시편 검증은 모든 측정기가 2회/조 실행되어야 한다. 
     ② 측정기 0점 확인은 매 Lot별 진행되어야 한다.
     ③ 표준 시편 검증 시 게이지 블럭 기준 공차는 ±5um이다. 
     ④ ISD+ 자동 게더링 시 저장 경로는 반드시 설정해줘야 한다.</t>
    <phoneticPr fontId="1" type="noConversion"/>
  </si>
  <si>
    <t>자동 두께 측정기 운용 중 옳지 않은 것은?
     ① 자동 두께 측정 후 이상 판넬 검출 시 RFC에 의거 재측정 한다.
     ② 자동 두께 측정기 0점은 매 Lot 측정 후 수동으로 잡아줘야 한다.
     ③ 자동 두께 측정 후 ISD는 자동 게더링을 한다.
     ④ 자동 두께 측정 완료 후 ISD 자동 게더링 후 OOC, OOS가 발생되었는지 확인한다.</t>
    <phoneticPr fontId="1" type="noConversion"/>
  </si>
  <si>
    <t>출하 검사에서 제조지시서 바뀜에 대한 예방 활동으로 옳지 않은 것은? 
     ① 자동 두께 측정 시 동일 관리 번호 위주로 제품을 투입한다. 
     ② 이전 공정에서 제품 모서리에 기록된 Lot No와 제조지시서의 일치성을 확인한다.
     ③ 가접 제품 자재별 홀가공수로 제품과 제조지시서 바뀜을 확인한다.
     ④ MPQA로 2D각인이 되어있는 가접 제품에 대해 제조지시서와 일치성을 Barcode로 찍어서 확인한다.</t>
    <phoneticPr fontId="1" type="noConversion"/>
  </si>
  <si>
    <t>제품 내부에 이물이 유입되어 동박 표면이 돌출된 현상을 무엇이라고 하는가?
     ① 타흔     ② Plate Mark     ③ 적층이물     ④ 기판파손</t>
    <phoneticPr fontId="1" type="noConversion"/>
  </si>
  <si>
    <t>외관 검사 항목 중 사용되는 검사 도구가 아닌 것은? 
    ① Pin Gage     ② 필름자     ③ Lupe(Scale Lupe)     ④ 두께 측정기</t>
    <phoneticPr fontId="1" type="noConversion"/>
  </si>
  <si>
    <t>LOT CARD에서 확인이 안 되는 사항은?
    ① 제품층 구조     ② 수량     ③ Lot No     ④ 적층 두께 Spec</t>
    <phoneticPr fontId="1" type="noConversion"/>
  </si>
  <si>
    <t>BGA 성적서 출력 시 확인사항이 아닌 것은? 
     ① 수량     ② 관리 번호     ③ 외관 불량 수량     ④ Spec</t>
    <phoneticPr fontId="1" type="noConversion"/>
  </si>
  <si>
    <t>[VDA 6.3] 부적합품 관리 사항 중 옳은 것은? 
     ① 부적합품은 별도 대차에 구분하여 관리자 확인을 받고 처리한다.
     ② 부적합 제품에 대해 후공정에 유출되지 않게 폐기하고 진행한다. 
     ③ 부적합 제품은 지정된 장소에 격리되어(잠금 장치) 관리되어야 한다.
     ④ 부적합 제품의 이력 관리는 필요하지 않다.</t>
    <phoneticPr fontId="1" type="noConversion"/>
  </si>
  <si>
    <t>[VDA 6.3] 부적합 제품 구분 및 표시 방법이 옳은 것은? 
     ① 타흔 불량과 이물질 불량일 경우 제품 박스의 하단에 양품을 놓고 상단에 부적합품을 적재한다.
     ② 타흔 불량에 대해 해당 위치에 동그라미 표시를 한다.
     ③ 불량을 구분하기 위해 경계선을 쪽 간지로 구분 반출한다.   
     ④ 제품의 끝부분을 접어 놓는다.</t>
    <phoneticPr fontId="1" type="noConversion"/>
  </si>
  <si>
    <t>[VDA 6.3] 다음의 문서 관리 사항으로 옳은 것은?
     ① Data 및 보증이 필요한 문서의 보증 기간은 16년이다.
     ② 문서에서 출하 성적서는 포함되지 않는다.
     ③ 원자재 성적서의 보관 기간은 15년이다.
     ④ 두께 측정 Data의 보관 기간은 10년이다.</t>
    <phoneticPr fontId="1" type="noConversion"/>
  </si>
  <si>
    <t xml:space="preserve">Hole Size 검사 Spec은?
     ① 3.15±0.02mm     ② 3.15±0.03mm     ③ 3.15±0.04mm     ④ 3.15±0.01mm  </t>
    <phoneticPr fontId="1" type="noConversion"/>
  </si>
  <si>
    <t>특정 Pnl이 수 Point 두께 차이가 발생 될 경우 의심해야 할 불량은 무엇인가?
     ① 층구성 Miss     ② 적층이물     ③ 타흔     ④ Plate Mark</t>
    <phoneticPr fontId="1" type="noConversion"/>
  </si>
  <si>
    <t>SUS Plate에 스크래치가 발생되어 적층 시 동박 표면에 전이되는 현상을 무엇이라고 하는가?
     ① 타흔     ② Plate Mark     ③ 적층이물     ④ 기판파손</t>
    <phoneticPr fontId="1" type="noConversion"/>
  </si>
  <si>
    <t xml:space="preserve"> ISD 두께 입력(저장) 전 확인해야 할 사항이 아닌 것은?
     ① 두께 측정 수량     ② 두께 측정 값     ③ 제품 정보(관리 번호, Lot No)     ④ PRESS 호기</t>
    <phoneticPr fontId="1" type="noConversion"/>
  </si>
  <si>
    <t>자동두께 작업 방법(작업 준비)으로 알맞지 않은 것은?
     ① 제품의 Lot No를 기록한다.
     ② 가접 제품은 3Cycle내 동일 관리번호만 측정한다.
     ③ worksize가 동일한 측정 대상을 선정한다.
     ④ 제품을 내부 가이드에 맞춰 적재한다.</t>
    <phoneticPr fontId="1" type="noConversion"/>
  </si>
  <si>
    <t>자동두께 Block gage 측정 시 0.5 표준 시편 SPEC로 알맞은 것은?
     ① ±0.004mm   ② ±0.005mm   ③ ±0.006mm  ④ ±0.007mm</t>
    <phoneticPr fontId="1" type="noConversion"/>
  </si>
  <si>
    <t>자동두께 4호기 수세 각인 투입 작업 시 알맞지 않은 것은?
     ① 수취기에 수취된 제품을 확인한다.
     ② Table DOWN을 눌러 제품을 Down 시킨다.
     ③ 대자고정을 풀지 않은 채로 대차를 이동시킨다.
     ④ 제품을 출하검사실로 이동한다.</t>
    <phoneticPr fontId="1" type="noConversion"/>
  </si>
  <si>
    <t>옥사이드 크리너 약품으로 맞는 것은?
     ① 황산   ② 염산   ③ 과산화수소   ④ H④ 250</t>
    <phoneticPr fontId="1" type="noConversion"/>
  </si>
  <si>
    <t>프리딥단 온도 스펙으로 맞는 것은?
     ① LSL 27 USL 33     ② LSL 20 USL 31     ③ LSL 25 USL 36     ④ LSL 26 USL 34</t>
    <phoneticPr fontId="1" type="noConversion"/>
  </si>
  <si>
    <t>옥사이드 건조단 온도로 맞는 것은?
      ① LSL 55 USL 60     ② LSL 60 USL 65     ③ LSL 50 USL 55     ④ LSL 65 USL 75</t>
    <phoneticPr fontId="1" type="noConversion"/>
  </si>
  <si>
    <t>옥사이드 후 수세단 압력 범위로 맞는 것은?
      ①LSL 3.5 USL 4.2     ② LSL 3.0 USL 3.5     ③ LSL 1.8 USL 2.2     ④ LSL 3.5 USL 4.2</t>
    <phoneticPr fontId="1" type="noConversion"/>
  </si>
  <si>
    <t xml:space="preserve">브라운 옥사이드 시편 측정 사이즈로 적당한 것은?
      ① 0.2T (10*10) 시편     ② 0.2T (15*15) 시편     ③ 0.2T (20*20) 시편     ④ 0.2T (5*5) 시편 </t>
    <phoneticPr fontId="1" type="noConversion"/>
  </si>
  <si>
    <t xml:space="preserve">브라운 옥사이드에서 발생할 수 있는 불량이 아닌 것은?
      ① 기판파손     ② 스크러치     ③ 동박 오적용     ④ 롤 자국 </t>
    <phoneticPr fontId="1" type="noConversion"/>
  </si>
  <si>
    <t xml:space="preserve">작업표준서의 내용을 작성 시 4M을 기준으로 작성한다. 4M이 아닌 것은?
     ① 사람(Man)     ② 자금(Money)     ③ 방법(Metho④)     ④ 설비(Machine) </t>
    <phoneticPr fontId="1" type="noConversion"/>
  </si>
  <si>
    <t>건조단 헤파필터 교체 주기는?
     ① 1일     ② 1년     ③ 조장 판단 임의 결정     ④ 6개월</t>
    <phoneticPr fontId="1" type="noConversion"/>
  </si>
  <si>
    <t xml:space="preserve">도징량 점검 주기는? 
     ① 1일     ② 1주     ③ 1월     ④ 1년  </t>
    <phoneticPr fontId="1" type="noConversion"/>
  </si>
  <si>
    <t>옥사이드 각 단별 노즐 확인 주기는?
     ① 작업자 임의 확인     ② 월/1회     ③ 주/1회     ④ 조별 /1회(주야)</t>
    <phoneticPr fontId="1" type="noConversion"/>
  </si>
  <si>
    <t>OXIDE (ORC-263TMR) 역할로 맞는 것은?
     ① 기판 표면에 묻은 이물질 및 유기막(④ry Film 잔사)을 제거한다.
     ② 기판 표면을 활성화 시켜 OXIDE 반응성을 높여준다.
     ③ Cu표면을 에칭시켜 조도를 형성한다.
     ④ 제품 표면의 물기를 제거하고 증발시킨다.</t>
    <phoneticPr fontId="1" type="noConversion"/>
  </si>
  <si>
    <t xml:space="preserve">3정 5S 항목에서 3정이 아닌 것은?
     ① 정품     ② 정량     ③ 정위치     ④ 정리 </t>
    <phoneticPr fontId="1" type="noConversion"/>
  </si>
  <si>
    <t>약품 보관 온도로 맞는 것은?
     ① 0~40℃     ② 50~60℃     ③ 60~70℃     ④70~80℃</t>
    <phoneticPr fontId="1" type="noConversion"/>
  </si>
  <si>
    <t>옥사이드 후 예비 레이업 공정까지 Q-Time은 몇 시간인가?
     ① 6시간     ② 12시간     ③ 18시간     ④ 24시간</t>
    <phoneticPr fontId="1" type="noConversion"/>
  </si>
  <si>
    <t>브라운 옥사이드 수세단 필터 교체 주기로 맞는 것은?
     ① 매일     ② 주 1회     ③ 월 1회     ④ 월 2회</t>
    <phoneticPr fontId="1" type="noConversion"/>
  </si>
  <si>
    <t>옥사이드 Conveyer Spee④ Spec은?
     ① 3.0±0.2m/min     ② 5.2±0.2m/min     ③ 8.4±0.2m/min     ④ 속도 무제한</t>
    <phoneticPr fontId="1" type="noConversion"/>
  </si>
  <si>
    <t>수세단 순수 인입량으로 맞는 것은? 
     ① 5LPM     ② 8LPM     ③ 2LPM     ④ 6LPM</t>
    <phoneticPr fontId="1" type="noConversion"/>
  </si>
  <si>
    <t>옥사이드 필터 사양으로 맞는 것은?
     ① 10㎛x250㎜,Ø63     ② 15㎛x250㎜,Ø63     ③ 10㎛x200㎜,Ø63     ④ 10㎛x250㎜,Ø60</t>
    <phoneticPr fontId="1" type="noConversion"/>
  </si>
  <si>
    <t>투입기 수취기 흡착 패드 교체 주기는?
     ① 교체 없이 영구 사용한다.
     ② 파손, 오염 시 즉시 교체한다.
     ③ 제품에 영향이 있을 때 즉시 교체한다 .    
     ④ 조장 임의대로 교체한다.</t>
    <phoneticPr fontId="1" type="noConversion"/>
  </si>
  <si>
    <t>공정 순서대로 맞는 것은?
     ① 투입기 → Cleaner → 수세(1~5) → OXIDE → Pre-Dip → 수세(1~5) → 건조 → 수취기   
     ② 수취기 → Cleaner → 수세(1~5) → OXIDE → Pre-Dip → 수세(1~5) → 건조 → 투입기
     ③ 투입기 → Cleaner → 수세(1~5) → Pre-Dip → OXIDE → 수세(1~5) → 건조 → 수취기   
     ④ 투입기 → 수세(1~5) → Cleaner → OXIDE → Pre-Dip → 수세(1~5) → 건조 → 수취기</t>
    <phoneticPr fontId="1" type="noConversion"/>
  </si>
  <si>
    <t>[VDA 6.3] 검사공정, 현장에서 측정기 교정 유효기간이 만료된 것을 발견했다. 가장 적절한 조치는?
      ① 측정값이 정상 범위면 사용
      ② 급한 생산분만 측정 후 교체
      ③ 사용 중지 후 교정 또는 대체 장비 사용
      ④ 기록만 수정</t>
    <phoneticPr fontId="1" type="noConversion"/>
  </si>
  <si>
    <t>[VDA 6.3] 동일 공정에서 반복적으로 경미한 불량(스크래치, 외관 미세 불량 등)이 발생하고 있다. 기능 검사에서는 합격이지만, 작업자의 올바른 행동은?
      ① 기능 합격이므로 그대로 출하한다
      ② 일정 수량 이상 누적되면 보고한다
      ③ 즉시 보고하고 원인 분석 및 재발방지 조치에 따른다
      ④ 다음 공정에서 걸러질 것으로 판단하고 계속 생산한다</t>
    <phoneticPr fontId="1" type="noConversion"/>
  </si>
  <si>
    <t>Jop SET UP 기준사항으로 옳지 않은 것은?
      ① 설비 비가동 발생시에는 작업준비사항의 항목에 의거 검증 후 진행 사항 기록후 진행한다.
      ② Line 가동 점검 중 Roll 이상 시 확인 시 즉시 교체한다.
      ③ OXIDE 재처리를 실시한다.
      ④ 설비 점검 수리 후 재가동시 설비 주변 5S 활동 및 투입 수취기 세정 후 작업 진행 한다.</t>
    <phoneticPr fontId="1" type="noConversion"/>
  </si>
  <si>
    <t>다음 중 용어로 알 맞는 것은?
      ① cleaner 탈지단 : 기판안에 묻은 이물질 및 유기막을 제거함
      ② pre-Dip : 기판 표면에 활성화를 시켜 OXIDE 반응을 억제한다.
      ③ OXIDE : Cu 표면을 에칭시켜 조도를 억제한다.
      ④ DRY : 제품 표면에 물기를 제거하고 증발시킨다.</t>
    <phoneticPr fontId="1" type="noConversion"/>
  </si>
  <si>
    <t>H2S04 약품 분석 방법으로 옳지 않은 것은?
      ① 250ml 삼각 플라스크에 작업액 1ml를 넣는다.
      ② 순수 50ml를 넣는다.
      ③ 메틸 오렌지 3~5방울 넣는다.
      ④ 1.ON NaOH로 적정한다.(종말점 : 붉은색 -&gt; 황색)</t>
    <phoneticPr fontId="1" type="noConversion"/>
  </si>
  <si>
    <t>HD-250 약품 조별 분석 방법으로 옳지 않는 것은?
      ① 작업액 5ml를 채취하여 250ml 삼각 플라스크에 넣는다.
      ② 순수를 100ml를 넣는다.
      ③ PP(페놀프탈레인) 지시약을 3~5방울 넣는다.
      ④ 1.ON HCI로 분홍색에서 파란색이 될때까지 적성한다.</t>
    <phoneticPr fontId="1" type="noConversion"/>
  </si>
  <si>
    <t>건조단 PM으로 알맞지 않은 것은?
      ① 건조단 히터 브로워 off 여부를 확인한다.
      ② 건조단내부의 이물을 마른 걸레로 닦는다.
      ③ 롤러를 수세미로 닦아 이물을 제거한 후 재 조립한다.
      ④ 커버 및 본체를 닦는다.</t>
    <phoneticPr fontId="1" type="noConversion"/>
  </si>
  <si>
    <t>옥사이드 크리너 약품으로 맞는 것은?
      ① 황산   ② 염산   ③ 과산화수소   ④ HD 250</t>
    <phoneticPr fontId="1" type="noConversion"/>
  </si>
  <si>
    <t>프리딥단 온도 스펙으로 맞는 것은?
      ① LSL 27 USL 33     ② LSL 20 USL 31     ③ LSL 25 USL 36     ④ LSL 26 USL 34</t>
    <phoneticPr fontId="1" type="noConversion"/>
  </si>
  <si>
    <t>VDA 프로세스 심사 시 문항 평가를 위한 적절한 배점으로 판단하기 어려운 것은?
     ① 고객요구사항(System적) 누락 및 미반영 : 0점
     ② 변경점 고객 미합의 및 미통보 : 0점
     ③ 개발 실행 PPAP 승인 누락 : 0점
     ④ 부적합품 기록관리 누락 : 0점</t>
    <phoneticPr fontId="1" type="noConversion"/>
  </si>
  <si>
    <t>건조단 헤파필터 교체 주기는?
      ① 1일     ② 1년     ③ 조장 판단 임의 결정     ④ 6개월</t>
    <phoneticPr fontId="1" type="noConversion"/>
  </si>
  <si>
    <t xml:space="preserve">도징량 점검 주기는? 
      ① 1일     ② 1주     ③ 1월     ④ 1년 </t>
    <phoneticPr fontId="1" type="noConversion"/>
  </si>
  <si>
    <t>OXIDE (ORC-263TMR) 역할로 맞는 것은?
      ① 기판 표면에 묻은 이물질 및 유기막(Dry Film 잔사)을 제거한다.
      ② 기판 표면을 활성화 시켜 OXIDE 반응성을 높여준다.
      ③ Cu표면을 에칭시켜 조도를 형성한다.
      ④ 제품 표면의 물기를 제거하고 증발시킨다.</t>
    <phoneticPr fontId="1" type="noConversion"/>
  </si>
  <si>
    <t>약품 보관 온도로 맞는 것은?
      ① 0~40℃     ② 50~60℃     ③ 60~70℃     ④70~80℃</t>
    <phoneticPr fontId="1" type="noConversion"/>
  </si>
  <si>
    <t xml:space="preserve"> 옥사이드 각 단별 노즐 확인 주기는?
      ① 작업자 임의 확인     ② 월/1회     ③ 주/1회     ④ 조별/1회(주야) </t>
    <phoneticPr fontId="1" type="noConversion"/>
  </si>
  <si>
    <t>사이드 후 예비 레이업 공정까지 Q-Time은 몇 시간인가?
      ① 6시간     ② 12시간     ③ 18시간     ④ 24시간</t>
    <phoneticPr fontId="1" type="noConversion"/>
  </si>
  <si>
    <t>브라운 옥사이드 수세단 필터 교체 주기로 맞는 것은?
      ① 매일     ② 주 1회     ③ 월 1회     ④ 월 2회</t>
    <phoneticPr fontId="1" type="noConversion"/>
  </si>
  <si>
    <t>옥사이드 Conveyer Speed Spec은?
      ① 3.0±0.2m/min     ② 5.2±0.2m/min     ③ 8.4±0.2m/min     ④ 속도 무제한</t>
    <phoneticPr fontId="1" type="noConversion"/>
  </si>
  <si>
    <t>수세단 순수 인입량으로 맞는 것은? 
      ① 5LPM     ② 8LPM     ③ 2LPM     ④ 6LPM</t>
    <phoneticPr fontId="1" type="noConversion"/>
  </si>
  <si>
    <t>옥사이드 필터 사양으로 맞는 것은?
      ① 10㎛x250㎜,Ø63     ② 15㎛x250㎜,Ø63     ③ 10㎛x200㎜,Ø63     ④ 10㎛x250㎜,Ø60</t>
    <phoneticPr fontId="1" type="noConversion"/>
  </si>
  <si>
    <t xml:space="preserve">[VDA 6.3] 생산 프로세스 반복 릴리즈에서 고려해야 할 사항이 아닌 것은?
      ① 승인은 승인기준에 따라 권한을 부여 받은 직원이 수행해야 한다.
      ② 일상적인 생산 시 생산 가동 승인, 계획된 정지에 대한 생산 가동 승인은 꼭 필요한 것은 아니다.
      ③ 검사 항목이 한도 견본으로 확인 가능하다.
      ④ 불가피하게 승인 시간이 지연된다면, 샘플을 승인할 때까지 제품을 분리하고 진행한다. </t>
    <phoneticPr fontId="1" type="noConversion"/>
  </si>
  <si>
    <t>공정 순서대로 맞는 것은?
      ① 투입기 → Cleaner → 수세(1~5) → OXIDE → Pre-dip → 수세(1~5) → 건조 → 수취기   
      ② 수취기 → Cleaner → 수세(1~5) → OXIDE → Pre-dip → 수세(1~5) → 건조 → 투입기
      ③ 투입기 → Cleaner → 수세(1~5) → Pre-dip → OXIDE → 수세(1~5) → 건조 → 수취기   
      ④ 투입기 → 수세(1~5) → Cleaner → OXIDE → Pre-dip → 수세(1~5) → 건조 → 수취기</t>
    <phoneticPr fontId="1" type="noConversion"/>
  </si>
  <si>
    <t>[VDA 6.3] 검사공정, 현장에서 측정기 교정 유효기간이 만료된 것을 발견했다. 가장 적절한 조치는?
     ① 측정값이 정상 범위면 사용
     ② 급한 생산분만 측정 후 교체
     ③ 사용 중지 후 교정 또는 대체 장비 사용
     ④ 기록만 수정</t>
    <phoneticPr fontId="1" type="noConversion"/>
  </si>
  <si>
    <t>[VDA 6.3] 동일 공정에서 반복적으로 경미한 불량(스크래치, 외관 미세 불량 등)이 발생하고 있다. 기능 검사에서는 합격이지만, 작업자의 올바른 행동은?
     ① 기능 합격이므로 그대로 출하한다
     ② 일정 수량 이상 누적되면 보고한다
     ③ 즉시 보고하고 원인 분석 및 재발방지 조치에 따른다
     ④ 다음 공정에서 걸러질 것으로 판단하고 계속 생산한다</t>
    <phoneticPr fontId="1" type="noConversion"/>
  </si>
  <si>
    <t>크리너 분석방법으로 옳지 않은 것은?
     ① 작업액 5ml를 채취하요 250ml 삼각 플라스크에 넣는다.
     ② 순수를 100ml 넣는다.
     ③ PP(페놀프탈레인) 지시약 3-5방울 넣는다.
     ④ 1.ON HCI로 분홍색에서 자주색이 될때까지 적성한다.</t>
    <phoneticPr fontId="1" type="noConversion"/>
  </si>
  <si>
    <t>다음 용어로 알맞지 않는 것은?
     ① Cleaner 탈지단(HD-250) : 기판표면에 묻은 이물질 유기막(Dry Film잔사)를 제거함
     ② Pre-Dip(ORC-240A) : 기판표면을 활성화 시켜 OXIDE 반응성을 낮춰준다.
     ③ OXIDE(ORC-263TMR) : Cu 표면을 에칭시켜 조도를 형성한다.
     ④ DRY(건조) : 제품 표면의 물기를 제거하고 증발시킴</t>
    <phoneticPr fontId="1" type="noConversion"/>
  </si>
  <si>
    <t>CZ 전처리 공정 설비 확인사항의 내용 중 월간 점검의 항목으로 맞지 않는 것은?
     ① 에칭액 건욕 주기 확인 후 액건욕/본조 내부 청소 
     ② 방청액 건욕 주기 확인 후 액건욕/본조 내부 청소 
     ③ 각 본조의 액, 물의 양 확인     
     ④ 설비 콘베이어 롤라/노즐 청소</t>
    <phoneticPr fontId="1" type="noConversion"/>
  </si>
  <si>
    <t>CZ 전처리에서 발생할 수 있는 불량이 아닌 것은?
      ① 롤 자국     ② 기판파손     ③ 스크러치     ④ 실리콘 링자국</t>
    <phoneticPr fontId="1" type="noConversion"/>
  </si>
  <si>
    <t>현장 작업 중 계란 썩는 냄새 또는 화장실 냄새가 느껴진다. 최우선 어떤 행동을 해야 하는가?  
      ① 조,반장 통보하고 작업 진행     ② 조,반장 즉시 통보     ③ 라인 투입 중지     ④ 제품 변색 확인</t>
    <phoneticPr fontId="1" type="noConversion"/>
  </si>
  <si>
    <t>가동 중 반송 알람이 울린다. 작업자는 우선적으로 어떤 조치를 취해야 하나? 
     ① Alarm을 리셋한다. 
     ② 이상 구간을 확인한다. 
     ③ 조,반장 보고 후 조치를 받는다. 
     ④ Alarm 리셋 후 이상 구간 확인</t>
    <phoneticPr fontId="1" type="noConversion"/>
  </si>
  <si>
    <t>3정 5S 항목에서 3정이 아닌 것은?
      ① 정품     ② 정량     ③ 정위치     ④ 정리</t>
    <phoneticPr fontId="1" type="noConversion"/>
  </si>
  <si>
    <t>방청조의 역할은?
     ① 표면 조도 형성     ② 표면 이물 제거     ③ 산화 방지     ④ 회로 형성</t>
    <phoneticPr fontId="1" type="noConversion"/>
  </si>
  <si>
    <t>도징량 점검 주기는? 
      ① 1일     ② 1주     ③ 1개월     ④ 1년</t>
    <phoneticPr fontId="1" type="noConversion"/>
  </si>
  <si>
    <t xml:space="preserve">고어 케이블 청소 및 상태 확인 주기는?
      ① 1회/조     ② 2회/조     ③ 1회/일     ④ 2회/일  </t>
    <phoneticPr fontId="1" type="noConversion"/>
  </si>
  <si>
    <t>건조단 헤파 필터 교체 주기는?
      ① 6개월     ② 1개월     ③ 1주     ④ 1일</t>
    <phoneticPr fontId="1" type="noConversion"/>
  </si>
  <si>
    <t>수세단 PM 시 사용하는 약품은?
      ① 황산     ② 염산     ③ 가성소다     ④ 락스</t>
    <phoneticPr fontId="1" type="noConversion"/>
  </si>
  <si>
    <t>최종 수세조 인입수량 Spec은?  
      ① 4.0 LPM 이하     ② 4.0 LPM 이상     ③ 10 LPM 이하     ④ 10 LPM 이상</t>
    <phoneticPr fontId="1" type="noConversion"/>
  </si>
  <si>
    <t>CZ 전처리 EPP 사양 제품 Etch Rate Spec은?
      ① 0.90 ± 0.05     ② 1.00 ± 0.05     ③ 1.05 ± 0.05     ④ 1.15 ± 0.05</t>
    <phoneticPr fontId="1" type="noConversion"/>
  </si>
  <si>
    <t xml:space="preserve">약품조별 사용되는 약품이 틀린 것은?
     ① 탈지 : CA5340, 황산, 과수     ② 에칭 : CZ-8101     ③ 염산 : 가성소다     ④ 방청 : CL8300 </t>
    <phoneticPr fontId="1" type="noConversion"/>
  </si>
  <si>
    <t>탈지조의 역할이 아닌 것은?
     ① 지문 제거     ② 드라이필름 찌꺼기 제거     ③ 표면 조도 형성     ④ 일부 미세 산화막 제거</t>
    <phoneticPr fontId="1" type="noConversion"/>
  </si>
  <si>
    <t>탈지조의 건욕 주기는?  
     ① 1일     ② 1주     ③ 2주     ④ 1개월</t>
    <phoneticPr fontId="1" type="noConversion"/>
  </si>
  <si>
    <t>에칭조에 대한 설명으로 올바른 것은?
     ① 표면에 조도를 형성한다.   
     ② 주성분은 가성소다이다.   
     ③ 액 분석 시 KI 용액을 사용한다.  
     ④ 방청 후 진행 공정이다.</t>
    <phoneticPr fontId="1" type="noConversion"/>
  </si>
  <si>
    <t>에칭조의 건욕 주기는?  
     ① 1주     ② 1개월     ③ 6개월     ④ 1년</t>
    <phoneticPr fontId="1" type="noConversion"/>
  </si>
  <si>
    <t>에칭조 측정 결과 Cu농도 28g/ℓ, 농축율 7%일 때, 올바른 조치 방법은?
     ① 순수를 약 20ℓ 보충 후 변화를 확인한다.   
     ② 황산을 1통 넣는다.   
     ③ CZ-8101 약품을 보충한다.   
     ④ 재건욕 한다.</t>
    <phoneticPr fontId="1" type="noConversion"/>
  </si>
  <si>
    <t>에칭단 농축율 계산 시 측정(확인)하는 항목이 아닌 것은?
     ① 인입 순수 순도     ② 에칭단 비중     ③ 에칭단 액 온도     ④ Cu 농도</t>
    <phoneticPr fontId="1" type="noConversion"/>
  </si>
  <si>
    <t>[VDA 6.3] 공정 중 작업표준서와 실제 작업 방법이 다르다는 것을 발견하였다. 가장 적절한 조치는?
     ① 현재 방식이 더 효율적이면 그대로 작업
     ② 일단 생산 후 나중에 수정
     ③ 즉시 보고하고 표준과 일치하도록 조치
     ④ 동료와 상의 후 결정</t>
    <phoneticPr fontId="1" type="noConversion"/>
  </si>
  <si>
    <t>[VDA 6.3] 설비 점검 주기가 지났으나 생산 일정이 촉박하다. 어떻게 해야 하는가?
     ① 이번만 생략
     ② 다음 주에 몰아서 점검
     ③ 점검 후 생산 진행
     ④ 이상 없다고 판단되면 계속 생산</t>
    <phoneticPr fontId="1" type="noConversion"/>
  </si>
  <si>
    <t>CZ전처리 Ra Spec은? ( 일반 / EPP )
     ① 일반 : 0.45이상 / EPP : 0.40이상
     ② 일반 : 0.40이상 / EPP : 0.45이상
     ③ 일반 : 0.35이상 / EPP : 0.40이상
     ④ 일반 : 0.40이상 / EPP : 0.35이상</t>
    <phoneticPr fontId="1" type="noConversion"/>
  </si>
  <si>
    <t>CZ전처리 실리콘 매트 이물 카운터 방법으로 틀린것은?
     ① 이물 Spec은 10개 이하여야 한다.
     ② 실리콘 매트 투입위치는 건조단 ~ 수취기 까지 진행이다.
     ③ 점검 주기는 조당 1회이다.
     ④ 이물 카운터는 치공구를 이용 10cm * 10Cm이내에서 실시하며, 목시로 이물 개수를 카운터한다.</t>
    <phoneticPr fontId="1" type="noConversion"/>
  </si>
  <si>
    <t>박테리아 배양, 검사 방법으로 틀린것은?
     ① 배양키트 Pet film 상위 필름을 올리고 정중앙에 최종 수세단 액을 떨어뜨린다.
     ② 상위 필름을 부드럽게 내려 놓는다.
     ③  48시간 배양(상온 방치)하여 박테리아 증식 여부를 관찰한다.
     ④ 광학 현미경(X15) 검사를 통해 박테리아 수 확인을 하고 10개 이하여야 한다.</t>
    <phoneticPr fontId="1" type="noConversion"/>
  </si>
  <si>
    <t>CZ 전처리 장갑 착용 기준으로 틀린것은?
     ① PU 장갑 : 근무간 기본 착용하고 2시간 마다 교체 한다.
     ② PVC 장갑 : 제품 취급 시 사용하며, 제품 취급 시 마다 신규 장갑으로 교체 후 사용한 장갑 폐기한다.
     ③ 내산 장갑 : PM 및 약품 취급 시 사용하며 PM/약품 취급 시 마다 신규 장갑으로 교체 후 사용한다.
     ④ 제품 취급시 PU장갑과 PVC장갑을 사용해야 한다.</t>
    <phoneticPr fontId="1" type="noConversion"/>
  </si>
  <si>
    <t>CZ공정에서 각 단별 역할로 틀린것은?
     ① 탈지단 : 기판 표면에 묻은 이물질 제거
     ② 에칭단 : 동 표면 에칭 시 조도를 형성
     ③ 염산단 : CZ-8401에 용해된 회로 위의 Cu 잔사를 제거
     ④ 방청단 : Cu 표면의 산화막 형성을 저해, 화학 결합력 강화</t>
    <phoneticPr fontId="1" type="noConversion"/>
  </si>
  <si>
    <t>CZ 전처리에서 발생할 수 있는 불량이 아닌 것은?
     ① 롤 자국     ② 기판파손     ③ 스크러치     ④ 실리콘 링자국</t>
    <phoneticPr fontId="1" type="noConversion"/>
  </si>
  <si>
    <t>UV 살균기 필터 교체 주기는?
     ① 1회/1일     ② 1회/1주     ③ 1회/2주     ④ 1회/1개월</t>
    <phoneticPr fontId="1" type="noConversion"/>
  </si>
  <si>
    <t>현장 작업 중 계란 썩는 냄새 또는 화장실 냄새가 느껴진다. 최우선 어떤 행동을 해야 하는가?
     ① 조,반장 통보하고 작업 진행     ② 조,반장 즉시 통보     ③ 라인 투입 중지     ④ 제품 변색 확인</t>
    <phoneticPr fontId="1" type="noConversion"/>
  </si>
  <si>
    <t>약품조별 사용되는 약품이 틀린 것은?
     ① 탈지 : CA5340, 황산, 과수     ② 에칭 : CZ-8101     ③ 염산 : 가성소다     ④ 방청 : CL8300</t>
    <phoneticPr fontId="1" type="noConversion"/>
  </si>
  <si>
    <t xml:space="preserve">도징량 점검 주기는? 
     ① 1일     ② 1주     ③ 1개월     ④ 1년  </t>
    <phoneticPr fontId="1" type="noConversion"/>
  </si>
  <si>
    <t>고어 케이블 청소 및 상태 확인 주기는?
     ① 1회/조     ② 2회/조     ③ 1회/일     ④ 2회/일</t>
    <phoneticPr fontId="1" type="noConversion"/>
  </si>
  <si>
    <t>에칭조에 대한 설명으로 올바른 것은?
    ① 표면에 조도를 형성한다.   
    ② 주성분은 가성소다이다.   
    ③ 액 분석 시 KI 용액을 사용한다.  
    ④ 방청 후 진행 공정이다.</t>
    <phoneticPr fontId="1" type="noConversion"/>
  </si>
  <si>
    <t xml:space="preserve">[VDA 6.3] 입고 자재가 적절하게 보관되어 있고, 입고 자재의 특별특성을 위하여 운송/포장 설비 수단의 내용으로 거리가 먼 것은?
    ① CSR/CR에 따른 포장 사양은 반드시 검토 및 반영되어야 한다. 
    ② 보관 용기의 주기적 청소 및 모니터링을 실시해야 한다.
    ③ 유수명 자재 관리는 모니터링에서 제외가 가능하다. 
    ④ 보관 장소의 청결 및 상태가 적절히 관리되어야 한다. </t>
    <phoneticPr fontId="1" type="noConversion"/>
  </si>
  <si>
    <t>[VDA 6.3] VDA 프로세스 심사 시 문항 평가를 위한 적절한 배점으로 판단하기 어려운 것은?
    ① 고객 요구 사항(System적) 누락 및 미반영 : 0점
    ② 변경점 고객 미합의 및 미통보 : 0점
    ③ 개발 실행 PPAP 승인 누락 : 0점
    ④ 부적합품 기록 관리 누락 : 0점</t>
    <phoneticPr fontId="1" type="noConversion"/>
  </si>
  <si>
    <t>탈지조의 역할이 아닌 것은?
     ① 지문 제거     ② 드라이 필름 찌꺼기 제거     ③ 표면 조도 형성     ④ 일부 미세 산화막 제거</t>
    <phoneticPr fontId="1" type="noConversion"/>
  </si>
  <si>
    <t>탈지조의 건욕 주기는?  
    ① 1일     ② 1주     ③ 2주     ④ 1개월</t>
    <phoneticPr fontId="1" type="noConversion"/>
  </si>
  <si>
    <t>방청조의 역할은?
    ① 표면 조도 형성     ② 표면 이물 제거     ③ 산화 방지     ④ 회로 형성</t>
    <phoneticPr fontId="1" type="noConversion"/>
  </si>
  <si>
    <t>건조단 헤파 필터 교체 주기는?
    ① 6개월     ② 1개월     ③ 1주     ④ 1일</t>
    <phoneticPr fontId="1" type="noConversion"/>
  </si>
  <si>
    <t>수세단 PM 시 사용하는 약품은?
    ① 황산     ② 염산     ③ 가성소다     ④ 락스</t>
    <phoneticPr fontId="1" type="noConversion"/>
  </si>
  <si>
    <t>최종 수세조 인입수량 Spec은?  
     ① 4.0 LPM 이하     ② 4.0 LPM 이상     ③ 10 LPM 이하     ④ 10 LPM 이상</t>
    <phoneticPr fontId="1" type="noConversion"/>
  </si>
  <si>
    <t xml:space="preserve">작업 표준서의 내용을 작성 시 4M을 기준으로 작성한다. 4M이 아닌 것은?
     ① 사람(Man)     ② 자금(Money)     ③ 방법(Method)     ④ 설비(Machine) </t>
    <phoneticPr fontId="1" type="noConversion"/>
  </si>
  <si>
    <t>Lay-up Room 온도 Spec은 얼마인가? 
     ① 18±2℃     ② 18±5℃     ③ 20±2℃     ④ 20±5℃</t>
    <phoneticPr fontId="1" type="noConversion"/>
  </si>
  <si>
    <t>예비 LAY-UP 된 내층 기재에 Copper foil와 치공구를 구성하여 Press 작업을 준비하는 공정은 무엇인가?
      ① LAY-UP     ② Press     ③ Trim     ④ 예비 LAY-UP</t>
    <phoneticPr fontId="1" type="noConversion"/>
  </si>
  <si>
    <t>예비 LAY-UP 중 PPG 종류/두께/Size/Lot No 확인 미준수 시 발생할 수 있는 불량명은 무엇인가?
      ① 동박 오적용     ② P/G 오적용     ③ 폭탄성 타흔     ④ PPG 오적용</t>
    <phoneticPr fontId="1" type="noConversion"/>
  </si>
  <si>
    <t>LAY-UP 준비 시 동박 적치대의 동박 종류/두께/Size/Lot No 확인 미준수 시 발생할 수 있는 불량명은 무엇인가?
     ① 동박 오적용     ② P/G 오적용     ③ 폭탄성 타흔     ④ Scale 편차</t>
    <phoneticPr fontId="1" type="noConversion"/>
  </si>
  <si>
    <t>아래 작업 준비 중 옳은 항목은 무엇인가?
     ① 예비 LAY-UP, LAY-UP의 자재 준비 시 현 작업분 + 이후 작업분까지 준비하여 적치하여 Capa up 한다.
     ② 후속 진행 자재는 현 작업 진행 자재 아래에 구분하여 적재해 놓는다. (편의성)
     ③ 예비 LAY-UP, LAY-UP 자재 준비 시 현 작업분 1종만 준비한다.
     ④ 작업 중 긴급 제품이 왔을 경우 현 작업 자재 위에 간지로 구분하고 의뢰된 자재를 적치하여 작업한다.</t>
    <phoneticPr fontId="1" type="noConversion"/>
  </si>
  <si>
    <t>이형 동박 사용 방법에 대한 설명 중 틀린 것은 무엇인가?
     ① Shine면(광택면)이 SUS Plate와 맞닿게 Lay-up 한다.
     ② 작업자 기준 동박 상부면에 사용 횟수를 숫자로 기록한다.
     ③ 이형 동박의 사용 횟수는 1회이며, 1회 사용 후 폐기한다. 
     ④ 사용 동박에 대하여는 Lay-up실 보관을 금지한다.</t>
    <phoneticPr fontId="1" type="noConversion"/>
  </si>
  <si>
    <t>동박 적용(작업대 적치, 반자동 설비 적치)시 확인 방법 중 옳은 것은?
     ① 동박은 동으로 앞,뒤 구분 없음                
     ② 반자동 적재 시 같은 면끼리 적재 해야 함
     ③ S,M면 구분은 해야 하나 순서는 상관 없음     
     ④ 적치대 상,하부면 기준에 의거 한도견본을 보고 정확히 적재해야 함</t>
    <phoneticPr fontId="1" type="noConversion"/>
  </si>
  <si>
    <t>RMS 또는 System 이상(통신 두절 등)시 옳은 방법은?  
     ① 해당 라인 작업 중지
     ② 조,반장 통보 후 수동 작업
     ③ 수동 작업
     ④ 옆 라인에게 인계하여 조치</t>
    <phoneticPr fontId="1" type="noConversion"/>
  </si>
  <si>
    <t>"Sumitomo Prepreg 적재 시 냉장고 내 (    )이상, Room온도에서는 (   )이상 적재 금지"에서 (    ) 안에 차례대로 들어갈 매수로 맞는 것은? 
     ① 200, 100     ② 400, 200     ③ 100, 100     ④ 1000,  1000</t>
    <phoneticPr fontId="1" type="noConversion"/>
  </si>
  <si>
    <t>Sumitomo Prepreg 자재 설명 중 틀린 것은 무엇인가?
     ① Sumitomo Prepreg는 5℃ 이하로 보관한다.              
     ② Sumitomo Prepreg는 해동(Aging) 시간은 3시간이며 6시간 이내에 사용한다.
     ③ Sumitomo Prepreg는 개봉 후 2회 추가 사용 가능하다. 
     ④ Sumitomo Prepreg는 보증 기간이 제조일로부터 6개월이다.</t>
    <phoneticPr fontId="1" type="noConversion"/>
  </si>
  <si>
    <t>RCC 자재 해동(Aging) 시간은 얼마인가?
     ① 1시간     ② 3시간     ③ 6시간     ④ 10시</t>
    <phoneticPr fontId="1" type="noConversion"/>
  </si>
  <si>
    <t>다음 중 보관 온도가 다른 PPG는 무엇인가? 
     ① RS67     ② AL67     ③ GV76     ④ GQ74</t>
    <phoneticPr fontId="1" type="noConversion"/>
  </si>
  <si>
    <t>다음 불량 유형 중 SUS 표면 검사 미준수로 인해 발생하는 불량은 무엇인가? (2가지를 고르시오)
     ① Plate Mark     ② P/G 오적용     ③ 폭탄성 타흔     ④ Scale 편차</t>
    <phoneticPr fontId="1" type="noConversion"/>
  </si>
  <si>
    <t>Pre-Preg(PPG) 개봉 시 가위를 사용하지 않는 이유는?
     ① 정전기 발생 방지     ② 작업자 부상 방지     ③ PPG 가루 날림 방지     ④ 알루미늄 이물 발생 방지</t>
    <phoneticPr fontId="1" type="noConversion"/>
  </si>
  <si>
    <t xml:space="preserve">제품에 직접 닿는 부분으로 제품으로의 균일한 온도 및 압력 전달을 위해 사용되는 판을 무엇이라고 하는가?
     ① 1.2mm SUS Plate     ② Carrier Plate     ③ Copper Foil(동박)     ④ 4, 7mm SUS Plate </t>
    <phoneticPr fontId="1" type="noConversion"/>
  </si>
  <si>
    <t>[VDA 6.3] 공정 검사 기준이 불명확하여 작업자마다 판정이 다르게 나오고 있다. 가장 필요한 조치는?
     ① 경험 많은 작업자 기준으로 통일
     ② 평균값으로 판단
     ③ 판정 기준 명확화 및 교육 실시
     ④ 불량률이 낮으면 유지</t>
    <phoneticPr fontId="1" type="noConversion"/>
  </si>
  <si>
    <t>[VDA 6.3] 자재 식별표가 떨어진 상태의 PCB 반제품을 발견하였다. 어떻게 해야 하는가?
     ① 외관이 같으면 사용
     ② 최근 생산 LOT으로 추정
     ③ 식별 확인 전까지 격리
     ④ 수량이 적으면 그냥 진행</t>
    <phoneticPr fontId="1" type="noConversion"/>
  </si>
  <si>
    <t>CZ수취기 BOX 투입시 타공간지는 몇매를 사용해야 하는가?
     ① 1매   ② 2매  ③ 3매  ④ 4매</t>
    <phoneticPr fontId="1" type="noConversion"/>
  </si>
  <si>
    <t>Lay-up 작업 전 제품Vs 제조지시서 일치성 검증을 어떤식으로 하는가?
     ① 제품과 제조지시서의 Lot 번호를 목시로 확인한다.
     ② 제품의 바코드와 제조지시서 바코드를 작업일보에 찍어서 일치성을 확인한다.
     ③ 제품은 설비가 인식하고 제조지시서는 작업자가 확인해서 일치성을 확인한다.
     ④ 제품과 작업지시서는 설비가 자동으로 인식한다.</t>
    <phoneticPr fontId="1" type="noConversion"/>
  </si>
  <si>
    <t>동박 반대적용, 오적용 방지를 위해 해야하는 행동이 아닌것은?
     ① 동박을 설비 적치대에 적재 후 한도견본의 색상과 일치성을 확인한다.
     ② RMS에 적용자재 바코드를 입력하여 일치성을 확인한다.
     ③ 동박을 설비 적치대에 적재 후 컬러센서를 이용하여 반대적용 여부를 확인한다.
     ④ 컬러센서에서 NG가 자주 발생될 경우 OFF 후 연속 작업 한다.</t>
    <phoneticPr fontId="1" type="noConversion"/>
  </si>
  <si>
    <t>작업을 위해 PPG 준비 시 몇종의 자재를 준비 하는가 ?
     ① 1종의 자재만 준비한다.
     ② 2종의 자재를 준비하여 다음 작업을 사전에 준비하여 생산성을 높인다.
     ③ 3종의 자재를 준비하여 다음 작업 준비 후 다음작업까지 준비하여 생산성을 높인다.
     ④ 식별이 가능 하도록 구분만 된다면 2종까지 불출하여 준비를 한다.</t>
    <phoneticPr fontId="1" type="noConversion"/>
  </si>
  <si>
    <t>가접 DCF의 자재 일치성은 어떻게 확인하는가?
     ① 작업일보에서 일치성 검증   
     ② 자재 Laot No 각인을 보고 검증  
     ③ 제조지시서 Laot No를 보고 검증  
     ④ 바코드 각인을 보고 검증</t>
    <phoneticPr fontId="1" type="noConversion"/>
  </si>
  <si>
    <t>SUS 크린롤 커팅주기는 어떻게 되는가?
     ① 100매   ② 103매  ③ 200매  ④ 203매</t>
    <phoneticPr fontId="1" type="noConversion"/>
  </si>
  <si>
    <t>작업을 위해 동박 준비 시 몇종의 자재를 준비 하는가 ?
     ① 1종의 자재만 준비한다.
     ② 2종의 자재를 준비하여 다음 작업을 사전에 준비하여 생산성을 높인다.
     ③ 3종의 자재를 준비하여 다음 작업 준비 후 다음작업까지 준비하여 생산성을 높인다.
     ④ 식별이 가능 하도록 구분만 된다면 2종까지 불출하여 준비를 한다.</t>
    <phoneticPr fontId="1" type="noConversion"/>
  </si>
  <si>
    <t>Lay-up 청소기 헤파필터의 점검 이유 및 주기로 옳은것은?
     ① 헤파필터의 손상에 의한 이물비산 방지를 위해 분기마다 점검을 한다.
     ② 헤파필터의 권장 수명을 지키기 위해 분기마다 점검을 한다.
     ③ 헤파필터가 막혀 청소기 성능이 떨어짐을 예방하기 위해 1개월 주기로 점검을 한다.
     ④ 헤파필터의 손상에 의한 이물비산 방지를 위해 1개월마다 점검을 한다.</t>
    <phoneticPr fontId="1" type="noConversion"/>
  </si>
  <si>
    <t xml:space="preserve">작업자 장갑 교체 주기로 옳은것은?
     ① 1Cycle 작업 후 교체   ② 2Cycle 작업 후 교체  ③ 3Cycle 작업 후 교체  ④ 1단 작업 후 교체 </t>
    <phoneticPr fontId="1" type="noConversion"/>
  </si>
  <si>
    <t xml:space="preserve">DCF 자재 취급 시 주의사항으로 틀린것은?
     ① DCF를 누른 상태에서 상/하/좌/우 방향으로 밀어서 펼치지 말 것
     ② DCF를 한 손으로 들고 취급하지 말 것 
     ③ DCF를 꺾거나 추스리지 말 것 
     ④ DCF 수량 파악을 위해 카운트할 때 휘어서 카운트 하지 말것 </t>
    <phoneticPr fontId="1" type="noConversion"/>
  </si>
  <si>
    <t>Lay-up Room내 파티클 측정 주기로 옳은것은?
     ① 1회/조   ② 1회/일  ③ 1회/주  ④ 1회/월</t>
    <phoneticPr fontId="1" type="noConversion"/>
  </si>
  <si>
    <t>Lay-up Room내 Room 중앙부 파티클 OOS 기준으로 옳은것은?
     ① 1,000개 이하  ② 5,000개 이하  ③ 10,000개 이하  ④ 50,000개 이하</t>
    <phoneticPr fontId="1" type="noConversion"/>
  </si>
  <si>
    <t>Lay-up Room내 자동 Lay-up 조합부 파티클 OOS 기준으로 옳은것은?
     ① 1,000개 이하  ② 5,000개 이하  ③ 10,000개 이하  ④ 50,000개 이하</t>
    <phoneticPr fontId="1" type="noConversion"/>
  </si>
  <si>
    <t xml:space="preserve">V-Press 작업 시 SUS Plate 및 제품의 밀림을 방지하기 위해 7mm SUS Plate에 장착되는 Tool은 무엇인가?
     ① 더글라스     ② 밀림 방지대     ③ 7mm SUS Plate     ④ Carrier Plate </t>
    <phoneticPr fontId="1" type="noConversion"/>
  </si>
  <si>
    <t>예비 LAY-UP 된 내층 기재에 Copper foil와 치공구를 구성하여 Press 작업을 준비하는 공정은 무엇인가?
     ① LAY-UP
     ② Press
     ③ Trim
     ④ 예비 LAY-UP</t>
    <phoneticPr fontId="1" type="noConversion"/>
  </si>
  <si>
    <t>Lay-up Room 온도와 습도 SPEC으로 맞는 것은?
     ① 18±2℃ / 40±5℃
     ② 18±5℃ / 40±10℃
     ③ 20±2℃ / 50±5℃
     ④ 20±2℃ / 50±10℃</t>
    <phoneticPr fontId="1" type="noConversion"/>
  </si>
  <si>
    <t>[VDA 6.3] 입고 자재가 적절하게 보관되어 있고, 입고 자재의 특별특성을 위하여 운송/포장 설비 수단의 내용으로 거리가 먼 것은?
     ① CSR/CR에 따른 포장 사양은 반드시 검토 및 반영되어야 한다. 
     ② 보관 용기의 주기적 청소 및 모니터링을 실시해야 한다.
     ③ 유수명 자재 관리는 모니터링에서 제외가 가능하다. 
     ④ 보관 장소의 청결 및 상태가 적절히 관리되어야 한다.</t>
    <phoneticPr fontId="1" type="noConversion"/>
  </si>
  <si>
    <t xml:space="preserve">[VDA 6.3] 생산 프로세스 반복 릴리즈에서 고려해야 할 사항이 아닌 것은?
     ① 승인은 승인 기준에 따라 권한을 부여 받은 직원이 수행해야 한다.
     ② 일상적인 생산 시 생산 가동 승인, 계획된 정지에 대한 생산 가동 승인은 꼭 필요한 것은 아니다.
     ③ 검사 항목이 한도 견본으로 확인 가능하다.
     ④ 불가피하게 승인 시간이 지연된다면, 샘플을 승인할 때까지 제품을 분리하고 진행한다.  </t>
    <phoneticPr fontId="1" type="noConversion"/>
  </si>
  <si>
    <t>동박 적용(작업대 적치, 반자동 설비 적치)시 확인 방법 중 옳은 것은?
     ① 동박은 동으로 앞,뒤 구분 없음
     ② 반자동 적재 시 같은 면끼리 적재해야 함
     ③ S,M면 구분은 해야 하나 순서는 상관 없음
     ④ 적치대 상,하부면 기준에 의거 한도견본을 보고 정확히 적재해야 함</t>
    <phoneticPr fontId="1" type="noConversion"/>
  </si>
  <si>
    <t>Sumitomo Prepreg 자재 설명 중 틀린 것은 무엇인가?
     ① Sumitomo Prepreg는 5℃ 이하로 보관한다.              
     ② Sumitomo Prepreg는 해동(Aging) 시간은 3시간이며 6시간 이내에 사용한다.
     ③ Sumitomo Prepreg는 개봉 후 2회 추가 사용 가능하다.   
     ④ Sumitomo Prepreg는 보증 기간이 제조일로부터 6개월이다.</t>
    <phoneticPr fontId="1" type="noConversion"/>
  </si>
  <si>
    <t>Sumitomo Prepreg 적재 시 냉장고 내 (  1  )이상, Room온도에서는 (  2  )이상 적재 금지'에서 (  1  ), (  2  )에 들어갈 매수로 맞는 것은? 
     ① 200, 100     ② 400, 200     ③ 100, 100     ④ 1000, 1000</t>
    <phoneticPr fontId="1" type="noConversion"/>
  </si>
  <si>
    <t>다음 중 보관 온도가 다른 PPG는 무엇인가?
     ① RS67     ② AL67     ③ GV76     ④ GQ74</t>
    <phoneticPr fontId="1" type="noConversion"/>
  </si>
  <si>
    <t>예비 LAY-UP 중 PPG 종류/두께/Size/Lot No 확인 미준수 시 발생할 수 있는 불량명은 무엇인가?
     ① 동박 오적용     ② P/G 오적용     ③ 폭탄성 타흔     ④ PPG 오적용</t>
    <phoneticPr fontId="1" type="noConversion"/>
  </si>
  <si>
    <t>RCC 자재 해동(Aging) 시간은 얼마인가?  
     ① 1시간     ② 3시간     ③ 6시간     ④ 10시간</t>
    <phoneticPr fontId="1" type="noConversion"/>
  </si>
  <si>
    <t xml:space="preserve">제품에 직접 닿는 부분으로 제품으로의 균일한 온도 및 압력 전달을 위해 사용되는 판을 무엇이라고 하는가? 
     ① 1.2mm SUS Plate     ② Carrier Plate     ③ Copper Foil(동박)     ④ 4, 7mm SUS Plate </t>
    <phoneticPr fontId="1" type="noConversion"/>
  </si>
  <si>
    <t>무정전 PC(PGG 받침대) Cleaning 방법의 내용으로 틀린 것은?
     ① 알콜+무진헝겊으로 PC 표면을 세정한다. 
     ② 표면의 거칠음 및 훼손된 부위 확인 시 해당 무정전 PC는 격리한다. 
     ③ 무정전 PC는 반드시 2회 사용 후 세정한다. 
     ④ 세정된 무정전 PC는 사용 직전에 이물 유무를 재확인한다.</t>
    <phoneticPr fontId="1" type="noConversion"/>
  </si>
  <si>
    <t>Lay-up Room내 파티클 측정 주기로 옳은것은?
     ① 1회/조
     ② 1회/일
     ③ 1회/주
     ④ 1회/월</t>
    <phoneticPr fontId="1" type="noConversion"/>
  </si>
  <si>
    <t>정전에 의한 PRESS Off 발생 시 제품 폐기가 아닌 경우는?
     ① 승온 구간 5분 이상 정전 발생 시     
     ② 최종 유지 구간 진입 후 50분 경과 10분 이내 발생 시
     ③ 최종 유지 구간 진입 후 50분 이후 10분 이상 발생 시 
     ④ 냉각 구간 10분 이내 발생 시</t>
    <phoneticPr fontId="1" type="noConversion"/>
  </si>
  <si>
    <t>PRESS에 제품 투입 후 5분간 확인하는 항목이 아닌 것은?
     ① 진공은 40Torr 이하인가?    
     ② 온도는 설정값에 따라 승온하는가? 
     ③ 냉각수 온도는 이상없는가? 
     ④ 압력은 설정값에 따라 상승하는가?</t>
    <phoneticPr fontId="1" type="noConversion"/>
  </si>
  <si>
    <t>PRESS 레코더의 온도는 눈금 1당 몇 ℃인가?
     ① 1℃     ② 2℃     ③ 3℃     ④ 4℃</t>
    <phoneticPr fontId="1" type="noConversion"/>
  </si>
  <si>
    <t>PRESS 레코더의 압력은 눈금 1당 몇 ㎏·f/㎠인가?
     ① 1㎏·f/㎠     ② 2㎏·f/㎠     ③ 3㎏·f/㎠     ④ 4㎏·f/㎠</t>
    <phoneticPr fontId="1" type="noConversion"/>
  </si>
  <si>
    <t>PRESS 레코더의 진공은 눈금 1당 몇 Torr 인가?
     ① 1Torr     ② 2Torr     ③ 4Torr     ④ 8Torr</t>
    <phoneticPr fontId="1" type="noConversion"/>
  </si>
  <si>
    <t>6단 FUSEI PRESS 열매유 보일러 Setting 온도는?
     ① 200℃±20℃     ② 220℃±20℃     ③ 240℃±20℃     ④ 260℃±20℃</t>
    <phoneticPr fontId="1" type="noConversion"/>
  </si>
  <si>
    <t>작업표준서의 내용을 작성 시 4M을 기준으로 작성한다. 4M이 아닌 것은?
     ① 사람(Man)     ② 자금(Money)     ③ 방법(Method)     ④ 설비(Machine)</t>
    <phoneticPr fontId="1" type="noConversion"/>
  </si>
  <si>
    <t>PRESS CONTROL PANEL의 기록지에 기록되지 않는 것은?
     ① 압력     ② 온도     ③ 시간     ④ 습도</t>
    <phoneticPr fontId="1" type="noConversion"/>
  </si>
  <si>
    <t>SUS 밀림 방지대 점검 기준의 설명으로 맞지 않는 것은?
     ① 고정핀의 이상 유무는 해체 시 마다 확인한다.
     ② 고정핀은 이상발생 시 즉 교체한다.   
     ③ 밀림 방지대의 높이 확인은 월 1회로 한다. 
     ④ 적층 완료품 해체 후 높이 측정 시 기준은 3cm이상이다.</t>
    <phoneticPr fontId="1" type="noConversion"/>
  </si>
  <si>
    <t>제품 해체 전 Top Plate 평탄도 측정 관리 기준은 얼마인가?
     ① 200㎛     ② 400㎛     ③ 600㎛     ④ 800㎛</t>
    <phoneticPr fontId="1" type="noConversion"/>
  </si>
  <si>
    <t>Top Plate 평탄도 측정 결과 관리 기준 Over 발생 시 조치사항은?
     ① 결과만 기록 후 진행한다.   
     ② Top Plate를 뒤집는다.   
     ③ Top Plate를 폐기한다.   
     ④ 몰래 수치를 수정 후 진행한다.</t>
    <phoneticPr fontId="1" type="noConversion"/>
  </si>
  <si>
    <t>SUS PLATE 정면기에 사용하는 브러쉬의 종류로 맞는 것은?
     ① 300, 600     ② 400, 600     ③ 500, 600     ④ 600,600</t>
    <phoneticPr fontId="1" type="noConversion"/>
  </si>
  <si>
    <t>정면기(3Line) Conveyer Speed Spec은?
     ① 2.0±0.2m/min     ② 2.3±0.2m/min     ③ 2.5±0.2m/min     ④ 속도 무제한</t>
    <phoneticPr fontId="1" type="noConversion"/>
  </si>
  <si>
    <t>정면기의 Pen Mark TEST 측정 주기는?
     ① 매일     ② 주 1회     ③ 월 1회     ④ 월 2회</t>
    <phoneticPr fontId="1" type="noConversion"/>
  </si>
  <si>
    <t>PRESS 비가동 시간이 얼마 이상일 때, Jop Set up Program을 검증하는가?
     ① 6시간     ② 12시간     ③ 24시간     ④ 48시간</t>
    <phoneticPr fontId="1" type="noConversion"/>
  </si>
  <si>
    <t>Lay-up 완료부터 V-PRESS 완료까지 Q-Time은 몇 시간인가?
     ① 6시간     ② 12시간     ③ 18시간     ④ 24시간</t>
    <phoneticPr fontId="1" type="noConversion"/>
  </si>
  <si>
    <t xml:space="preserve">제품 해체 시 자주검사 항목이 아닌 것은?
     ① 타흔     ② 적층이물     ③ 내부 VOID     ④ SUS Plate Type </t>
    <phoneticPr fontId="1" type="noConversion"/>
  </si>
  <si>
    <t>PRESS 해체 시 1단에 2Lot가 분할 적용되어 있을 경우 어떻게 해야 할까?
     ① 조,반장 통보 후 대기          
     ② 1단에 분할은 없음으로 1Lo로 취합 진행한다.
     ③ 단순 유실에 의한 분할 적용이 가능하며, 분할 Lot 임시 보관용 적치대에 보관 후 Lot 확인 후 취합한다.
     ④ 2Lot를 모아서 후공정에 인계하여 분리하도록 한다.</t>
    <phoneticPr fontId="1" type="noConversion"/>
  </si>
  <si>
    <t>[VDA 6.3] 공정 능력(Cpk)이 기준에 미달하는 것으로 확인되었다. 가장 적절한 조치는?
     ① 검사 수량을 줄인다
     ② 합격품만 선별 출하
     ③ 원인 분석 후 공정 개선 조치
     ④ 다음 달에 재확인</t>
    <phoneticPr fontId="1" type="noConversion"/>
  </si>
  <si>
    <t>[VDA 6.3] 작업 중 사용 중인 작업지시서가 최신 개정본인지 확신이 서지 않는다. 가장 적절한 조치는?
     ① 이전에 사용하던 방법이므로 그대로 작업한다.
     ② 동료에게 물어보고 맞으면 진행한다.
     ③ 최신 개정 여부를 확인한 후 작업을 진행한다.
     ④ 일단 생산 후 나중에 확인한다.</t>
    <phoneticPr fontId="1" type="noConversion"/>
  </si>
  <si>
    <t>진공펌프 PM주기로 옳은것은?
     ① 1회/1주   ② 1회/2주  ③ 1회/3주  ④ 1회/월</t>
    <phoneticPr fontId="1" type="noConversion"/>
  </si>
  <si>
    <t>Press Jop Set-up 진행 기준으로 틀린것은?
     ①  Main 전원 Off 후 재가동 시
     ② 1일(24Hr) 이상 설비 비가동 발생 시
     ③ 1일(12Hr) 이상 설비 비가동 발생 시
     ④ 설비 이상 조치 후</t>
    <phoneticPr fontId="1" type="noConversion"/>
  </si>
  <si>
    <t>밀림방지대 점검 기준으로 틀린것은?
     ① 밀림방지대의 전체 점검은 1회/월 주기로 실행 한다
     ② 밀림 방지대 높이는 5Cm 이상이여야 한다.
     ③ 밀림 방지대 높이는 10Cm 이상이여야 한다.
     ④ 고정핀 이상유무는 해체시마다 확인 한다.</t>
    <phoneticPr fontId="1" type="noConversion"/>
  </si>
  <si>
    <t>정면기 Jop Set-up 진행 기준으로 틀린것은?
     ① 설비이상 해지 후
     ② 비가동 12시간 후
     ③ 비가동 24시간 후
     ④ 유틸리티 이상발생 해지 후</t>
    <phoneticPr fontId="1" type="noConversion"/>
  </si>
  <si>
    <t>정면기 Conveyer Speed 로 맞는것은?
     ① 1.6 ~ 2.2 m/min   ② 1.8 ~ 2.0 m/min  ③ 2.0 ~ 2.2 m/min  ④ 1.8 ~ 2.2 m/min</t>
    <phoneticPr fontId="1" type="noConversion"/>
  </si>
  <si>
    <t>열매유 온도를 올릴 때 알맞지 않은 것은?
     ① 냉각수 AIR VALVE의 닫힘을 확인한다.
     ② 보일러 가동 S/W를 가동 위치에 넣는다.
     ③ CONTROL PANEL 내의 열매 순환 펌프 가동을 ON시킨다.
     ④ CONTROL PANEL 내의 보일러 히터  가열을 ON시킨다.</t>
    <phoneticPr fontId="1" type="noConversion"/>
  </si>
  <si>
    <t>PRESS 열판 온도 측정 주기로 알맞은 것은?
     ① 1회/년
     ② 2회/년
     ③ 3회/년
     ④ 4회/년</t>
    <phoneticPr fontId="1" type="noConversion"/>
  </si>
  <si>
    <t>SUS 정면기 연마정도 평가 주기로 알맞은 것은?
     ① 1회/년
     ② 2회/월
     ③ 3회/년
     ④ 4회/월</t>
    <phoneticPr fontId="1" type="noConversion"/>
  </si>
  <si>
    <t>다음 중 공구의 교환 주기가 다른 것은?
     ① 진공 펌프 OIL
     ② 유압 장치 OIL
     ③ 진공 펌프 배기 FILTER
     ④ 진공 펌피 흡기 FILTER</t>
    <phoneticPr fontId="1" type="noConversion"/>
  </si>
  <si>
    <t>PRESS 해체 시 1단에 2Lot가 분할 적용되어 있을 경우 어떻게 해야 할까?
     ① 조,반장 통보 후 대기          
     ② 1단에 분할은 없음으로 1Lo로 취합 진행한다.
     ③ 단순 유실에 의한 분할 적용이 가능하며, 분할 Lot 임시 보관용 적치대에 보관 후 Lot 확인 후 취합한다.
     ④ 2Lot를 모아서 후공정에 인계하여 분리하도록 한다.</t>
    <phoneticPr fontId="1" type="noConversion"/>
  </si>
  <si>
    <t>Top Plate 평탄도 측정 결과 관리 기준 Over 발생 시 조치 사항은?
     ① 결과만 기록 후 진행한다.   
     ② Top Plate를 뒤집는다.   
     ③ Top Plate를 폐기한다.   
     ④ 몰래 수치를 수정 후 진행한다.</t>
    <phoneticPr fontId="1" type="noConversion"/>
  </si>
  <si>
    <t xml:space="preserve"> 제품 해체 시 자주 검사 항목이 아닌 것은?
     ① 타흔     ② 적층이물     ③ 내부 Void     ④ SUS Plate Type</t>
    <phoneticPr fontId="1" type="noConversion"/>
  </si>
  <si>
    <t>FUSEI PRESS 정전에 의한 Program Holding 발생 시 조치 방법은?
     ① Program Reset 진행한다.  
     ② Start 버튼을 3초간 누른다. 
     ③ 수동 전환 후 자동으로 전환한다.    
     ④ 설비를 껐다가 다시 켠다.</t>
    <phoneticPr fontId="1" type="noConversion"/>
  </si>
  <si>
    <t>[VDA 6.3] VDA 프로세스 심사 시 문항 평가를 위한 적절한 배점으로 판단하기 어려운 것은?
     ① 고객 요구 사항(System적) 누락 및 미반영 : 0점
     ② 변경점 고객 미합의 및 미통보 : 0점
     ③ 개발 실행 PPAP 승인 누락 : 0점
     ④ 부적합품 기록관리 누락 : 0점</t>
    <phoneticPr fontId="1" type="noConversion"/>
  </si>
  <si>
    <t xml:space="preserve">[VDA 6.3] 생산 프로세스 반복 릴리즈에서 고려해야 할 사항이 아닌 것은?
     ① 승인은 승인 기준에 따라 권한을 부여 받은 직원이 수행해야 한다.
     ② 일상적인 생산 시 생산 가동 승인, 계획된 정지에 대한 생산 가동 승인은 꼭 필요한 것은 아니다.
     ③ 검사 항목이 한도 견본으로 확인 가능하다.
     ④ 불가피하게 승인 시간이 지연된다면, 샘플을 승인할 때까지 제품을 분리하고 진행한다. </t>
    <phoneticPr fontId="1" type="noConversion"/>
  </si>
  <si>
    <t>[VDA 6.3] 입고 자재가 적절하게 보관되어 있고, 입고 자재의 특별특성을 위하여 운송,포장 설비 수단의 내용으로 거리가 먼 것은?
     ① CSR/CR에 따른 포장 사양은 반드시 검토 및 반영되어야 한다. 
     ② 보관 용기의 주기적 청소 및 모니터링을 실시해야 한다.
     ③ 유수명 자재 관리는 모니터링에서 제외가 가능하다. 
     ④ 보관 장소의 청결 및 상태가 적절히 관리되어야 한다.</t>
    <phoneticPr fontId="1" type="noConversion"/>
  </si>
  <si>
    <t>PRESS 레코더의 온도는 눈금 1당 몇 ℃인가?
     ① 1℃   ② 2℃   ③ 3℃   ④ 4℃</t>
    <phoneticPr fontId="1" type="noConversion"/>
  </si>
  <si>
    <t>PRESS 레코더의 진공은 눈금 1당 몇 Torr 인가?
     ① 1Torr   ② 2Torr   ③ 4Torr   ④ 8Torr</t>
    <phoneticPr fontId="1" type="noConversion"/>
  </si>
  <si>
    <t xml:space="preserve">정면기(3Line) Conveyer Speed Spec은?
     ① 2.0±0.2m/min     ② 2.3±0.2m/min     ③ 2.5±0.2m/min     ④ 속도 무제한 </t>
    <phoneticPr fontId="1" type="noConversion"/>
  </si>
  <si>
    <t>SUS 연마기(3Line) 건조단의 온도 Spec은?
     ① 30℃±5℃     ② 40℃±5℃     ③ 50℃±5℃     ④ 60℃±5℃</t>
    <phoneticPr fontId="1" type="noConversion"/>
  </si>
  <si>
    <t>6단 FUSEI PRESS 열매유 보일러 Setting 온도는 ?
     ① 200℃±20℃     ② 220℃±20℃     ③ 240℃±20℃     ④ 260℃±20℃</t>
    <phoneticPr fontId="1" type="noConversion"/>
  </si>
  <si>
    <t xml:space="preserve"> PRESS 비가동 시간이 얼마 이상일 때, Jop Set up Program을 검증하는가?
     ① 6시간     ② 12시간     ③ 24시간     ④ 48시간</t>
    <phoneticPr fontId="1" type="noConversion"/>
  </si>
  <si>
    <t>수직 흑화 약품조 중 내층 동박과 수지 사이의 밀착력을 강화 목적으로 제품 표면에 깎여진 동에 산화 후, 흑화막을 형성하는 약품조는 무엇인가?
     ① CZ 전처리     ② 수직 흑화     ③ 노바본드     ④ Black Oxide</t>
    <phoneticPr fontId="1" type="noConversion"/>
  </si>
  <si>
    <t>다음 중 액 분석을 하는 공정이 아닌 것은?
     ① CZ 전처리     ② 수직 흑화     ③ 노바본드     ④ X-Ray Hole 가공</t>
    <phoneticPr fontId="1" type="noConversion"/>
  </si>
  <si>
    <t>액 분석 DATA를 입력하는 System은 무엇인가?
     ① ISD Plus     ② MES     ③ G-DIX     ④ Excel</t>
    <phoneticPr fontId="1" type="noConversion"/>
  </si>
  <si>
    <t>CZ 전처리 액 분석 항목이 아닌 것은?
     ① CU농도     ② HCL 농도     ③ H2O2 농도     ④ UC168</t>
    <phoneticPr fontId="1" type="noConversion"/>
  </si>
  <si>
    <t>약품 분석 시 착용해야 할 보호구가 아닌 것은?
     ① 마스크     ② 장갑     ③ 보안경     ④ 핑거 골무</t>
    <phoneticPr fontId="1" type="noConversion"/>
  </si>
  <si>
    <t>CZ 전처리 HCL 농도는 Spec은 무엇인가?
     ① 3.5~4.5     ② 3.1~4.1     ③ 2.5~3.5     ④ 2.8~3.8</t>
    <phoneticPr fontId="1" type="noConversion"/>
  </si>
  <si>
    <t>CZ 전처리 Etching단 CU 농도 Spec은 무엇인가?
     ① 20~30     ② 15~25     ③ 23~33     ④ 25~30</t>
    <phoneticPr fontId="1" type="noConversion"/>
  </si>
  <si>
    <t>CZ 전처리는 액 분석 항목 중 3회/日 측정하는 항목은 무엇인가?
     ① H2O2 농도     ② H2SO4 농도     ③ 염산단 HCL 농도     ④ 탈지단 CU 농도</t>
    <phoneticPr fontId="1" type="noConversion"/>
  </si>
  <si>
    <t>CZ 전처리 Etching단 Cu농도 측정 시, 현장액에 순수를 첨가한 후에 MX 지시약을 첨가할 때, 어떤 색으로 변할 때까지 첨가하는가?
     ① 노란색     ② 분홍색     ③ 적색     ④ 푸른색</t>
    <phoneticPr fontId="1" type="noConversion"/>
  </si>
  <si>
    <t>CZ 전처리, 노바본드, 수직 흑화에서 사용하는 시편 Size는 무엇인가?
     ① 10mm*10mm     ② 15mm*15mm     ③ 13mm*13mm     ④ 17mm*17mm</t>
    <phoneticPr fontId="1" type="noConversion"/>
  </si>
  <si>
    <t>노바본드에서 사용하는 약품이 아닌 것은 무엇인가?
     ① UC168     ② Stabilizer     ③ Reducer     ④ MC9028P</t>
    <phoneticPr fontId="1" type="noConversion"/>
  </si>
  <si>
    <t>노바본드 pH 측정 항목을 제외한 나머지 액 분석 항목의 분석 주기는 몇 회 인가?
     ① 1회/일     ② 2회/일     ③ 3회/일     ④ 4회/일</t>
    <phoneticPr fontId="1" type="noConversion"/>
  </si>
  <si>
    <t>노바본드 UC168 관리 기준은 무엇인가?
     ① 150g/ℓ~190g/ℓ     ② 160g/ℓ~200g/ℓ     ③ 170g/ℓ~210g/ℓ     ④ 180g/ℓ~220g/ℓ</t>
    <phoneticPr fontId="1" type="noConversion"/>
  </si>
  <si>
    <t>노바본드, CZ 전처리, 수직 흑화 액 분석 시 사용되는 분석법은 무엇인가?
     ① 건식 분석     ② 습식 분석 및 UV 분석     ③ 재식 분석     ④ 액화 분석</t>
    <phoneticPr fontId="1" type="noConversion"/>
  </si>
  <si>
    <t>수직 흑화 MC 9028P 농도, pH 측정 항목을 제외한 나머지 액 분석 항목의 분석 주기는 몇 회 인가?
     ① 1회/일     ② 2회/일     ③ 3회/일     ④ 4회/일</t>
    <phoneticPr fontId="1" type="noConversion"/>
  </si>
  <si>
    <t>수직 흑화 Black Oxide와 Pre Dip 단에서 공통적으로 사용하는 약품은 무엇인가?
     ① MC9028P     ② 9251     ③ 9249     ④ H2SO4</t>
    <phoneticPr fontId="1" type="noConversion"/>
  </si>
  <si>
    <t>수직 흑화 Soft Etching단과 Acid Dip 단에서 공통적으로 사용하는 약품은 무엇인가?
     ① MC9028P     ② 9251     ③ 9249     ④ H2SO4</t>
    <phoneticPr fontId="1" type="noConversion"/>
  </si>
  <si>
    <t>수직 흑화 Cleaner단의 MC9028 농도 Spec은 무엇인가?
     ① 10.8~12.8     ② 13.5~15.5     ③ 14.8~16.8     ④ 17.7~19.7</t>
    <phoneticPr fontId="1" type="noConversion"/>
  </si>
  <si>
    <t>[VDA 6.3] 특별 적성에 필요한 제조 요구사항으로 틀린 것은?
     ① 공정 능력이 결정되어야 하고 그 성과가 검증되어야 한다. 
     ② 고객 사양을 충족시킨다는 증거를 제시해야 한다. 
     ③ 공정 능력 Cpk＞= 1.67 보여 줄 수 없다면 100% 전수 검사 필요함.
     ④ 공정 능력 Cpk＞= 1.33 보여 줄 수 없다면 100% 전수 검사 필요함.</t>
    <phoneticPr fontId="1" type="noConversion"/>
  </si>
  <si>
    <t xml:space="preserve">[VDA 6.3] 입고 자재의 보관에 대한 요구사항으로 틀린 것은?
     ① 의심 되는 격리된 제품은 권한이 없는 직원은 접근 할 수가 없다.
     ② 손상 및 오염으로부터 부품을 보호하는 운송 수단이 사용되어야 한다. 
     ③ 추가 가공 될 경우 재고 자재의 수치는 실제 보관 수량과 불일치 할 수 있다.
     ④ 최종 제품의 품질에 영향을 줄 수 있는 자재의 경우 운송 및 보관 조건을 정하고 승인해야 한다. </t>
    <phoneticPr fontId="1" type="noConversion"/>
  </si>
  <si>
    <t>노바본드 pH 측정 항목을 제외한 나머지 액 분석 항목의 분석 주기는 무엇인가?
     ① 1회/일     ② 2회/일     ③ 3회/일     ④ 4회/일</t>
    <phoneticPr fontId="1" type="noConversion"/>
  </si>
  <si>
    <t>액 분석 DATA를 입력하는 System은 무엇인가?
     ① ISD Plus     ② MES     ③ G-DIX     ④ Excel</t>
    <phoneticPr fontId="1" type="noConversion"/>
  </si>
  <si>
    <t>수직 흑화 Soft Etching단과 Acid Dip단에서 공통적으로 사용하는 약품은 무엇인가?
     ① MC9 028P     ② 9251     ③ 9249     ④ H2SO4</t>
    <phoneticPr fontId="1" type="noConversion"/>
  </si>
  <si>
    <t xml:space="preserve">수직 흑화 Cleaner단의 MC9028 농도 Spec은 무엇인가?
     ① 10.8~12.8     ② 13.5~15.5     ③ 14.8~16.8     ④ 17.7~19.7 </t>
    <phoneticPr fontId="1" type="noConversion"/>
  </si>
  <si>
    <t>수직 흑화 MC 9028P 농도, pH 측정 항목을 제외한 나머지 액 분석 항목의 분석 주기는 무엇인가?
     ① 1회/일     ② 2회/일     ③ 3회/일     ④ 4회/일</t>
    <phoneticPr fontId="1" type="noConversion"/>
  </si>
  <si>
    <t>수직 흑화 Black Oxide와 Pre Dip단에서 공통적으로 사용하는 약품은 무엇인가?
     ① MC9028P     ② 9251     ③ 9249     ④ H2SO4</t>
    <phoneticPr fontId="1" type="noConversion"/>
  </si>
  <si>
    <t>CZ 전처리 Etching 단 CU 농도 Spec은 무엇인가?
     ① 20~30     ② 15~25     ③ 23~33     ④ 25~30</t>
    <phoneticPr fontId="1" type="noConversion"/>
  </si>
  <si>
    <t>CZ 전처리는 액 분석 항목 중 3회/일 측정하는 항목은 무엇인가?
     ① H2O2 농도     ② H2SO4 농도     ③ 염산단 HCL 농도     ④ 탈지단 CU 농도</t>
    <phoneticPr fontId="1" type="noConversion"/>
  </si>
  <si>
    <t>CZ 전처리 Etching단 CU 농도 측정 시 현장액에 순수를 첨가한 후에 MX 지시약을 첨가할 때,
     어떤 색으로 변할 때까지 첨가하는가?
     ① 노란색     ② 분홍색     ③ 적색     ④ 푸른색</t>
    <phoneticPr fontId="1" type="noConversion"/>
  </si>
  <si>
    <t>CZ 전처리 공정 설비 확인사항의 내용 중 월간 점검의 항목으로 맞지 않는 것은?
     ① 에칭액 건욕 주기 확인 후 액건욕/본조 내부 청소 
     ② 방청액 건욕 주기 확인 후 액건욕/본조 내부 청소 
     ③ 각 본조의 액, 물의 양 확인     
     ④ 설비 콘베이어 롤라/노즐 청소</t>
    <phoneticPr fontId="1" type="noConversion"/>
  </si>
  <si>
    <t xml:space="preserve">CZ 전처리에서 발생할 수 있는 불량이 아닌 것은?
     ① 롤 자국     ② 기판파손     ③ 스크러치     ④ 실리콘 링자국 </t>
    <phoneticPr fontId="1" type="noConversion"/>
  </si>
  <si>
    <t>가동 중 반송 알람이 울린다. 작업자는 우선적으로 어떤 조치를 취해야 하나?
     ① Alarm을 리셋한다. 
     ② 이상 구간을 확인한다. 
     ③ 조,반장 보고 후 조치를 받는다. 
     ④ Alarm 리셋 후 이상 구간 확인</t>
    <phoneticPr fontId="1" type="noConversion"/>
  </si>
  <si>
    <t>방청조의 역할은? 
     ① 표면 조도 형성     ② 표면 이물 제거     ③ 산화 방지     ④ 회로 형성</t>
    <phoneticPr fontId="1" type="noConversion"/>
  </si>
  <si>
    <t>도징량 점검 주기는? 
     ① 1일     ② 1주     ③ 1개월     ④ 1년</t>
    <phoneticPr fontId="1" type="noConversion"/>
  </si>
  <si>
    <t xml:space="preserve">고어 케이블 청소 및 상태 확인 주기는?
     ① 1회/조     ② 2회/조     ③ 1회/일     ④ 2회/일  </t>
    <phoneticPr fontId="1" type="noConversion"/>
  </si>
  <si>
    <t>건조단 헤파 필터 교체 주기는?
     ① 6개월     ② 1개월     ③ 1주     ④ 1일</t>
    <phoneticPr fontId="1" type="noConversion"/>
  </si>
  <si>
    <t>수세단 PM 시 사용하는 약품은?
     ① 황산     ② 염산     ③ 가성소다     ④ 락스</t>
    <phoneticPr fontId="1" type="noConversion"/>
  </si>
  <si>
    <t>최종 수세조 인입수량 Spec은?
     ① 4.0 LPM 이하     ② 4.0 LPM 이상     ③ 10 LPM 이하     ④ 10 LPM 이상</t>
    <phoneticPr fontId="1" type="noConversion"/>
  </si>
  <si>
    <t>CZ 전처리 EPP 사양 제품 Etch Rate Spec은?
     ① 0.90 ± 0.05     ② 1.00 ± 0.05     ③ 1.05 ± 0.05     ④ 1.15 ± 0.05</t>
    <phoneticPr fontId="1" type="noConversion"/>
  </si>
  <si>
    <t>탈지조의 건욕 주기는?
     ① 1일     ② 1주     ③ 2주     ④ 1개월</t>
    <phoneticPr fontId="1" type="noConversion"/>
  </si>
  <si>
    <t>에칭조의 건욕 주기는?
     ① 1주     ② 1개월     ③ 6개월     ④ 1년</t>
    <phoneticPr fontId="1" type="noConversion"/>
  </si>
  <si>
    <t>노바본드에서 발생 할 수 있는 불량이 아닌 것은?
     ① 롤 자국     ② 미흑화     ③ 스크라치     ④ 기판 붙음</t>
    <phoneticPr fontId="1" type="noConversion"/>
  </si>
  <si>
    <t>Soft Clean 조의 역할이 아닌 것은?
     ① 지문 제거     ② 드라이 필름 찌꺼기 제거     ③ 회로 형성     ④ 일부 미세 산화막 제거</t>
    <phoneticPr fontId="1" type="noConversion"/>
  </si>
  <si>
    <t>Soft Clean 조에 대한 설명으로 올바른 것은?
     ① 표면에 조도를 형성한다.   
     ② 주성분은 황산, 과수이다.   
     ③ 액분석 시 KI 용액을 사용한다.   
     ④ 흑화 후 진행 공정이다.</t>
    <phoneticPr fontId="1" type="noConversion"/>
  </si>
  <si>
    <t xml:space="preserve">제품 Racking 시 LOT No. 각인의 위치는?
     ① 좌측 상단     ② 좌측 하단     ③ 우측 상단     ④ 우측 하단   </t>
    <phoneticPr fontId="1" type="noConversion"/>
  </si>
  <si>
    <t>환원 조의 역할은?
     ① Pink Ring 발생 방지     ② 흑화조 오염 방지     ③ 적층 밀착력 증가     ④ 제품 표면의 산성분 제거</t>
    <phoneticPr fontId="1" type="noConversion"/>
  </si>
  <si>
    <t>노바본드 후 불량 유형이 아닌 것은?
     ① 핑크링     ② 흑화 얼룩     ③ 주름     ④ 미흑화</t>
    <phoneticPr fontId="1" type="noConversion"/>
  </si>
  <si>
    <t>수직 흑화라인 약품조별 농도 SPEC이 틀린 것은?
     ① Soft Clean (UC168) : 180±20 ㎖/ℓ   
     ② Soft Clean (H2O2) : 20±2 ㎖/ℓ
     ③ Pre Dip (Stabilizer) : 15±10 ㎖/ℓ  
     ④ OXIDE (Stabilizer) : 15±5 ㎖/ℓ</t>
    <phoneticPr fontId="1" type="noConversion"/>
  </si>
  <si>
    <t>흑화 처리 후 후처리(환원)가 잘못되었을 때 나타날 수 있는 불량은 ?
     ① 타흔     ② 핑크링     ③ 미에칭     ④ 보이드</t>
    <phoneticPr fontId="1" type="noConversion"/>
  </si>
  <si>
    <t>노바본드 건조단의 온도 Spec은?
     ① 100 ± 5℃     ② 85 ± 5℃     ③ 72 ± 5℃     ④ 68 ± 5℃</t>
    <phoneticPr fontId="1" type="noConversion"/>
  </si>
  <si>
    <t>노바본드에서 없는 조는?
     ① 소프트크린     ② 소프트에칭     ③ 흑화     ④ 환원</t>
    <phoneticPr fontId="1" type="noConversion"/>
  </si>
  <si>
    <t>설비 트러블에 의한 멈춤 발생 시 조치 내용으로 가장 올바른 것은?
     ① 설비 문제이므로 설비 통보 후 대기한다.     
     ② 전 공정 대피 통보한다.
     ③ 약품조에 제품 유무 확인 및 캐리어 이동 가능 시 약품조의 제품을 수세로 이동 후 조장 통보한다.
     ④ 국산품은 맞아야 되며, 설비를 발로 찬다.</t>
    <phoneticPr fontId="1" type="noConversion"/>
  </si>
  <si>
    <t>노바본드 PM 주기가 아닌 것은?
     ① 소프트크린 : 1회/2주
     ② OXIDE : 1회/2개월
     ③ Predip : 1회/2주
     ④ 환원 : 1회/2주</t>
    <phoneticPr fontId="1" type="noConversion"/>
  </si>
  <si>
    <t>OXIDE조 PM 시 세정용으로 사용하는 약품은?
     ① 황산     ② 염산     ③ 가성소다     ④ 암모니아수</t>
    <phoneticPr fontId="1" type="noConversion"/>
  </si>
  <si>
    <t xml:space="preserve">약품조의 필터 교체 주기는?
     ① 1회/주     ② 1회/2주     ③ 1회/월     ④ 1회/2월 </t>
    <phoneticPr fontId="1" type="noConversion"/>
  </si>
  <si>
    <t xml:space="preserve">노바본드 처리 후 Life Time은 몇 시간인가?
     ① 6시간     ② 12시간     ③ 24시간     ④ 48시간 </t>
    <phoneticPr fontId="1" type="noConversion"/>
  </si>
  <si>
    <t>다음 중 수직 흑화의 약품조와 사용 약품이 일치하지 않는 것은?
     ① OXIDE : Stabilizer, 102                     
     ② Soft Clean : 9251      
     ③ Predip : Stabilizer                       
     ④ 환원 : Stabilizer, Reducer</t>
    <phoneticPr fontId="1" type="noConversion"/>
  </si>
  <si>
    <t xml:space="preserve">OXIDE조의 Stabilizer, 102 약품의 분석 주기는? 
     ① 1회/조     ② 2회/조     ③ 3회/일     ④ 4회/일 
</t>
    <phoneticPr fontId="1" type="noConversion"/>
  </si>
  <si>
    <t>흑화 진행 후 다음 공정은 어디인가? (Window 흑화 제외)  
     ① PRESS     ② Dual Detach     ③ Lay-up     ④ 예비 Lay-up</t>
    <phoneticPr fontId="1" type="noConversion"/>
  </si>
  <si>
    <t xml:space="preserve">흑화 처리 후 불량 유형이 아닌 것은?
     ① 핑크링     ② 흑화 얼룩     ③ 주름     ④ 미흑화 </t>
    <phoneticPr fontId="1" type="noConversion"/>
  </si>
  <si>
    <t>흑화 처리 후 후처리(환원, Postdip)가 잘못되었을 때, 나타날 수 있는 불량은? 
     ① 타흔     ② 핑크링     ③ 미에칭     ④ VOID</t>
    <phoneticPr fontId="1" type="noConversion"/>
  </si>
  <si>
    <t>수직 흑화에서 발생할 수 있는 불량이 아닌 것은?
     ① 롤 자국     ② 미흑화     ③ 스크러치     ④ 기판 붙음</t>
    <phoneticPr fontId="1" type="noConversion"/>
  </si>
  <si>
    <t>수직 흑화 흑화조 약품의 대표 명칭은?
     ① OMNI Bond     ② ULTRA Bond     ③ SIGMA Bond     ④ RTU-65</t>
    <phoneticPr fontId="1" type="noConversion"/>
  </si>
  <si>
    <t>3정 5S 항목을 바르게 나열한 것은?
     ① 3정(정품/정량/정돈)       5S(정리/정위치/청소/청결/습관화)   
     ② 3정(정품/정량/정위치)     5S(정리/정돈/청소/청결/습관화)
     ③ 3정(정품/정리/정돈)       5S(정량/정위치/청소/청결/습관화)   
     ④ 3정(습관화/정량/정위치)   5S(정리/정위치/청소/청결/정품)</t>
    <phoneticPr fontId="1" type="noConversion"/>
  </si>
  <si>
    <t>작업 표준서의 내용을 작성 시 4M을 기준으로 작성한다. 4M이 아닌 것은?  
     ① 사람(MAN)     ② 자금(MONEY)     ③ 방법(METHOD)     ④ 설비(MACHINE)</t>
    <phoneticPr fontId="1" type="noConversion"/>
  </si>
  <si>
    <t>흑화조 PM 시 세정용으로 사용하는 약품은?
     ① 황산     ② 염산     ③ 가성소다     ④ 암모니아수</t>
    <phoneticPr fontId="1" type="noConversion"/>
  </si>
  <si>
    <t>수직 흑화 PM 주기가 아닌 것은?
     ① 크리너 : 1회/4주     ② OXIDE : 2회/8주     ③ Soft Etching : 1회/4주     ④ 수세단 : 1회/2주</t>
    <phoneticPr fontId="1" type="noConversion"/>
  </si>
  <si>
    <t>Soft Etching조에 대한 설명으로 올바른 것은?
     ① 표면에 조도를 형성한다.  
     ② 주성분은 가성소다이다.  
     ③ 액분석 시 KI 용액을 사용한다.  
     ④ 흑화 후 진행 공정이다.</t>
    <phoneticPr fontId="1" type="noConversion"/>
  </si>
  <si>
    <t xml:space="preserve"> Post dip 조의 역할은?
     ① Pink Ring 발생 방지     ② 흑화조 오염 방지     ③ 적층 밀착력 증가     ④ 제품 표면의 산성분 제거 </t>
    <phoneticPr fontId="1" type="noConversion"/>
  </si>
  <si>
    <t>크리너 조의 역할이 아닌 것은?
     ① 지문 제거     ② 드라이 필름 찌꺼기 제거     ③ 표면 조도 형성     ④ 일부 미세 산화막 제거</t>
    <phoneticPr fontId="1" type="noConversion"/>
  </si>
  <si>
    <t>수직 흑화 라인 약품조별 농도 SPEC이 틀린 것은?
     ① Cleaner (MC-9028P) : 10 ± 2%   
     ② Soft Etching (H2O2) : 8.75 ± 1.35 g/L
     ③ Pre Dip (9249) : 43 ± 3 g/L     
     ④ Acid Dip (H2SO4) : 105 ± 10 g/L</t>
    <phoneticPr fontId="1" type="noConversion"/>
  </si>
  <si>
    <t>다음 중 수직 흑화의 약품조와 사용 약품이 일치하지 않는 것은?
     ① Balck Oxide : 9249, 9251                   
     ② Cleaner : 9251      
     ③ Soft Etching : 60% H2SO4, 35% H2O2        
     ④ Post Dip : 6220, 6221</t>
    <phoneticPr fontId="1" type="noConversion"/>
  </si>
  <si>
    <t>흑화 약품조의 필터 교체 주기는?
     ① 1회/주     ② 1회/2주     ③ 1회/월     ④ 1회/2월</t>
    <phoneticPr fontId="1" type="noConversion"/>
  </si>
  <si>
    <t>수직 흑화 건조단의 온도 Spec은?
     ① 100 ± 5℃     ② 85 ± 5℃     ③ 72 ± 5℃     ④ 68 ± 5℃</t>
    <phoneticPr fontId="1" type="noConversion"/>
  </si>
  <si>
    <t>수직 Window 흑화 진행 시 사용하지 않는 조는?  
     ① 크리너     ② 소프트 에칭     ③ 흑화     ④ 포스트딥</t>
    <phoneticPr fontId="1" type="noConversion"/>
  </si>
  <si>
    <t>제품 Racking 시 LOT No. 각인의 위치는?
     ① 좌측 상단     ② 좌측 하단     ③ 우측 상단     ④ 우측 하단</t>
    <phoneticPr fontId="1" type="noConversion"/>
  </si>
  <si>
    <t>수직 흑화 설비 트러블에 의한 멈춤 발생 시 조치 내용으로 올바른 것은?
     ① 먼저 설비에서 제품을 빼놓고 설비과에 통보 후 대기한다.
     ② 전 공정 대피 통보한다.  
     ③ 약품조에 제품 유무 확인 및 캐리어 이동 가능 시 약품조의 제품을 수세로 이동 후 조장 통보한다.
     ④ 설비를 건드려 보거나 어떻게든 내 힘으로 고쳐본다.</t>
    <phoneticPr fontId="1" type="noConversion"/>
  </si>
  <si>
    <t>"흑화 처리"란 무엇인가?</t>
    <phoneticPr fontId="1" type="noConversion"/>
  </si>
  <si>
    <t xml:space="preserve">수직 흑화 후, 발생할 수 있는 불량을 3가지 이상 쓰시오. </t>
    <phoneticPr fontId="1" type="noConversion"/>
  </si>
  <si>
    <t>흑화 처리 후 불량 유형이 아닌 것은?
     ① 핑크링     ② 흑화 얼룩     ③ 주름     ④ 미흑</t>
    <phoneticPr fontId="1" type="noConversion"/>
  </si>
  <si>
    <t>수직 Window 흑화 진행 시 사용하지 않는 조는?  
     ① 크리너     ② 소프트에칭     ③ 흑화     ④ 포스트딥</t>
    <phoneticPr fontId="1" type="noConversion"/>
  </si>
  <si>
    <t xml:space="preserve">흑화 약품조의 필터 교체 주기는?
     ① 1회/주     ② 1회/2주     ③ 1회/월     ④ 1회/2월 </t>
    <phoneticPr fontId="1" type="noConversion"/>
  </si>
  <si>
    <t xml:space="preserve">수직 흑화 PM 주기가 아닌 것은?
     ① 크리너 : 1회/4주     ② OXIDE : 2회/8주     ③ Soft Etching : 1회/4주     ④ 수세단 : 1회/2주 </t>
    <phoneticPr fontId="1" type="noConversion"/>
  </si>
  <si>
    <t>제품 Racking시 LOT No. 각인의 위치는?
     ① 좌측 상단     ② 좌측 하단     ③ 우측 상단     ④ 우측 하단</t>
    <phoneticPr fontId="1" type="noConversion"/>
  </si>
  <si>
    <t>VDA 6.3] 생산 프로세스 반복 릴리즈에서 고려해야 할 사항이 아닌 것은?
     ① 승인은 승인 기준에 따라 권한을 부여 받은 직원이 수행해야 한다.
     ② 일상적인 생산 시 생산 가동 승인, 계획된 정지에 대한 생산 가동 승인은 꼭 필요한 것은 아니다.
     ③ 검사 항목이 한도 견본으로 확인 가능하다.
     ④ 불가피하게 승인 시간이 지연된다면, 샘플을 승인할 때까지 제품을 분리하고 진행한다.</t>
    <phoneticPr fontId="1" type="noConversion"/>
  </si>
  <si>
    <t xml:space="preserve">Soft Etching 조에 대한 설명으로 올바른 것은?
     ① 표면에 조도를 형성한다.  
     ② 주성분은 가성소다이다.  
     ③ 액분석 시 KI 용액을 사용한다.  
     ④ 흑화 후 진행 공정이다.  </t>
    <phoneticPr fontId="1" type="noConversion"/>
  </si>
  <si>
    <t>Post dip 조의 역할은?
     ① Pink Ring 발생 방지     ② 흑화조 오염 방지     ③ 적층 밀착력 증가     ④ 제품 표면의 산성분 제거</t>
    <phoneticPr fontId="1" type="noConversion"/>
  </si>
  <si>
    <t>흑화조 PM 시 세정용으로 사용하는 약품은?  
     ① 황산     ② 염산     ③ 가성 소다     ④ 암모니아수</t>
    <phoneticPr fontId="1" type="noConversion"/>
  </si>
  <si>
    <t xml:space="preserve">Trim Spindle 회전 속도 기준은 (      ) RPM 이다. </t>
    <phoneticPr fontId="1" type="noConversion"/>
  </si>
  <si>
    <t>CZ공정은 제품 표면에 아래와 같이 (무엇을) 형성하는 공정이다. 무엇을이 의미하는것은?
     ① 조도     ② 크리닝     ③ 방청처리     ④ 산화막</t>
    <phoneticPr fontId="1" type="noConversion"/>
  </si>
  <si>
    <t>좌/중/우 시편 측정 주기로 옳은것은?
     ① 1회/조
     ② 1회/일
     ③ 1회/주
     ④ 1회/월</t>
    <phoneticPr fontId="1" type="noConversion"/>
  </si>
  <si>
    <t>CZ라인에서 최종수세단 필터 교체 주기가 맞는것은? 
     ① 1회/조
     ② 1회/일
     ③ 1회/주
     ④ 1회/월</t>
    <phoneticPr fontId="1" type="noConversion"/>
  </si>
  <si>
    <t>투입/수취기 고관절 케이블 베어 청소 및 점검 주기로 옳은것은?
     ① 1회/조
     ② 1회/일
     ③ 1회/주
     ④ 1회/월</t>
    <phoneticPr fontId="1" type="noConversion"/>
  </si>
  <si>
    <t>투입/수취기 흡착 PAD 교체 주기로 옳은것은? 
     ① 1회/월
     ② 1회/3개월
     ③ 1회/6개월
     ④ 1회/년</t>
    <phoneticPr fontId="1" type="noConversion"/>
  </si>
  <si>
    <t>롤 구동 상태 점검 및 노즐 막힘 여부 점검 주기로 옳은것은?
     ① 1회/조
     ② 2회/조
     ③ 3회/조
     ④ 1회/일</t>
    <phoneticPr fontId="1" type="noConversion"/>
  </si>
  <si>
    <t>UV살균기 필터 교체 주기는 얼마인가? 
     ① 1회/1주
     ② 1회/2주
     ③ 1회/3주
     ④ 1회/월</t>
    <phoneticPr fontId="1" type="noConversion"/>
  </si>
  <si>
    <t>에칭조 측정 결과 Cu농도 28g/ℓ, 농축율 7%일 때, 올바른 조치 방법은?
     ① 순수를 약 20ℓ 보충 후 변화를 확인한다.
     ② 황산을 1통 넣는다.
     ③ CZ-8101 약품을 보충한다.
     ④ 재건욕 한다.</t>
    <phoneticPr fontId="1" type="noConversion"/>
  </si>
  <si>
    <t xml:space="preserve">CZ 전처리 EPP 사양 제품 Etch Rate Spec은?
     ① 0.90 ± 0.05
     ② 1.00 ± 0.05
     ③ 1.05 ± 0.05
     ④ 1.15 ± 0.05   </t>
    <phoneticPr fontId="1" type="noConversion"/>
  </si>
  <si>
    <t>제품 취급 시 장갑 착용이 정말 중요한데요. 장갑 착용 이유에 대해 잘못 설명된 항목은 어느 것일까요?
       ① 파손 방지
       ② 제품 오염 방지
       ③ 표면 산화 방지
       ④ 이물 제품 전이 방지</t>
    <phoneticPr fontId="1" type="noConversion"/>
  </si>
  <si>
    <t>제품 취급 시 장갑 착용이 정말 중요한데요. 장갑 착용 이유에 대해 잘못 설명된 항목은 어느 것일까요?
       ① 표면 산화 방지
       ② 제품 오염 방지
       ③ 파손 방지
       ④ 이물 제품 전이 방지</t>
    <phoneticPr fontId="1" type="noConversion"/>
  </si>
  <si>
    <t xml:space="preserve">각 공정에는 관리 Spec Over 또는 이상 발생에 대해 조치 및 업무 Process가 문서화 되어 있습니다. 이 문서의 이름은?
      ① WI : 대표 표준 문서 
      ② CP : 관리계획서
      ③ CS : 체크시트
      ④ RFC : 이상발생 처리절차 </t>
    <phoneticPr fontId="1" type="noConversion"/>
  </si>
  <si>
    <t>제품의 단위에 대한 질문입니다. 다음 항목 중 제품의 수량 단위가 아닌 것을 선택해주세요.
       ① PNL
       ② LOT
       ③ STRIP
       ④ mm</t>
    <phoneticPr fontId="1" type="noConversion"/>
  </si>
  <si>
    <t>12시간 이상 설비 이상 혹은 기타 사유로 공정 Shutdown  발생 시  기록해야 되는 C/S는 어떤 것일까요?
       ①  PM C/S
       ② Job Set-Up C/S
       ③  일상점검 C/S
       ④  환경 및 유틸 C/S</t>
    <phoneticPr fontId="1" type="noConversion"/>
  </si>
  <si>
    <t xml:space="preserve">Carrier Detach 공정에서 벗겨야 하는 Carrier동박의 위치는?
 ①                                 ②                               ③                                 ④
</t>
    <phoneticPr fontId="1" type="noConversion"/>
  </si>
  <si>
    <t xml:space="preserve">Carrier Detach 공정  제조지시서의 제품코드 “03BGASEMBLDN” 제품의 탈착 위치로 옳은 것은? 
 ①                                ②                                ③                                 ④
</t>
    <phoneticPr fontId="1" type="noConversion"/>
  </si>
  <si>
    <t>[VDA 6.3] 입고 자재가 적절하게 보관되어 있고, 입고자재의 특별특성을 위하여 운송/포장 설비 수단의 내용으로 거리가 먼 것은?
     ① CSR/CR에 따른 포장 사양은 반드시 검토 및 반영되어야 한다. 
     ② 보관 용기의 주기적 청소 및 모니터링을 실시해야 한다.
     ③ 유수명 자재 관리는 모니터링에서 제외가 가능하다. 
     ④ 보관 장소의 청결 및 상태가 적절히 관리되어야 한다.</t>
    <phoneticPr fontId="1" type="noConversion"/>
  </si>
  <si>
    <t xml:space="preserve">Carrier Detach 공정 작업 시작 순서로 옳은 것은?
     ① 제품에 적혀 있는 Lot No와 제조지시서 일치성 확인 → Lot 카드와 전산의 일치여부 확인
          → Barcode로 전산 시작입력
     ② Barcode로 전산 시작입력 → Lot 카드와 전산의 일치여부 확인
          → 제품에 적혀 있는 Lot No와 제조지시서 일치성 확인
     ③ Lot 카드와 전산의 일치여부 확인 → 제품에 적혀 있는 Lot No와 제조지시서 일치성 확인
          → Barcode로 전산 시작입력
     ④ Lot 카드와 전산의 일치여부 확인 → Barcode로 전산 시작입력
</t>
    <phoneticPr fontId="1" type="noConversion"/>
  </si>
  <si>
    <t xml:space="preserve">ITS 각인기 Setting 방법(외층 기준)이 올바른 순서대로 나열된 것은?
  [  ⓐLot card 층 정보 확인  ⓑ작업 조건 외층 선택  ⓒLot 기록 창 Click  
      ⓓLot 정보 및 두께 P/G 기록  ⓔAuto/Start                                    ]
     ① ⓐ-ⓒ-ⓑ-ⓓ-ⓔ
     ② ⓐ-ⓑ-ⓒ-ⓓ-ⓔ 
     ③ ⓑ-ⓐ-ⓒ-ⓓ-ⓔ
     ④ ⓐ-ⓓ-ⓑ-ⓒ-ⓔ
</t>
    <phoneticPr fontId="1" type="noConversion"/>
  </si>
  <si>
    <t xml:space="preserve">작업자 방진복 세탁 주기는 얼마인가?
     ① 주간 또는 야간 4일 근무 후 세탁
     ② 7일 일주일 근무 후 세탁
     ③ 8일 근무 후 세탁
     ④ 14일 근무 후 세탁 </t>
    <phoneticPr fontId="1" type="noConversion"/>
  </si>
  <si>
    <t>DCF 자재를 사용하는 가접 예비 Lay-up 시 주의사항이 아닌 것은? 
     ① 추스림에 의한 스크래치 주의
     ② 자재 각인 일치성 확인
     ③ 포장 입고 확인(이물 관리)
     ④ DCF Burr 확인</t>
    <phoneticPr fontId="1" type="noConversion"/>
  </si>
  <si>
    <t>양산 중 동박자재 부족시 어떤 절차를 실행 하는가?
     ① 작업을 중지하고 사용동박을 제거 후 신규 Pack 동박을 개봉하여 사용한다.
     ② 작업을 중지하고 자재를 추가 보충하고 이어서 작업한다.
     ③ 작업을 중지하고 추가 자재를 MES에 바코드로 인식하여 일치성 검증을 실행한 후 추가 보충하여 
         작업을 한다.
     ④ 작업을 중지하고 조장에게 보고한 후 조장의 조치를 기다린다.</t>
    <phoneticPr fontId="1" type="noConversion"/>
  </si>
  <si>
    <t>PPG 접힘 확인 방법이 올바른 순서대로 나열된 것은?
   ⓐ 제품 취급 시 ⅓의 위치에 취급한다.                   
   ⓑ 제품 Edg'e부 취급 센터 정렬을 실시한다.
   ⓒ Copper Foil 상부에 제품을 안착한다.                    
   ⓓ 하부 PPG 접힘 유무를 확인한다. 
   ⓔ 작업자 상부 530 방향 Edg'e부를 살짝 들추어 자재 접힘 유무를 확인한다. 
     ① ⓐ-ⓒ-ⓑ-ⓓ-ⓔ     ② ⓐ-ⓑ-ⓓ-ⓔ-ⓒ     ③ ⓑ-ⓐ-ⓒ-ⓓ-ⓔ     ④ ⓐ-ⓓ-ⓑ-ⓒ-ⓔ</t>
    <phoneticPr fontId="1" type="noConversion"/>
  </si>
  <si>
    <t>X-ray 펀칭기 Setting 방법이 올바른 순서대로 나열된 것은?
  [  ⓐ Lot card 층 정보 확인  ⓑ Program Loading  ⓒ Mark confirmation
     ⓓ Lot No 입력  ⓔ Zero set  ⓕ 정상 작업                                       ]
     ① ⓐ-ⓒ-ⓕ-ⓑ-ⓓ-ⓔ
     ② ⓐ-ⓑ-ⓓ-ⓔ-ⓒ-ⓕ 
     ③ ⓑ-ⓐ-ⓒ-ⓓ-ⓔ-ⓕ
     ④ ⓐ-ⓓ-ⓑ-ⓒ-ⓔ-ⓕ</t>
    <phoneticPr fontId="1" type="noConversion"/>
  </si>
  <si>
    <t xml:space="preserve">다음 중 공정 및 용어 설명으로 틀린 것은?
     ① Cleaner : 내층 동박과 수지 사이의 밀착력을 강화 목적으로 제품 표면의 깎여진 동에 산화 후 
                     흑화막을 형성한다. 
     ② Soft Etching : 동 표면의 일부를 용해시켜서 산화 피막이나 불순물을 제거한다.
     ③ Pre-Dip : 제품에 흡수되어 있는 산 성분을 중화한다.
     ④ Post-Dip : Black Oxide 공정에서 형성된 흑화막의 일부를 제거하고 내산성을 부여한다. </t>
    <phoneticPr fontId="1" type="noConversion"/>
  </si>
  <si>
    <t>출하 검사에서 제조지시서 바뀜에 대한 예방 활동으로 옳지 않은 것은?
     ① 자동 두께 측정 시 동일 관리 번호 위주로 제품을 투입한다. 
     ② 이전 공정에서 제품 모서리에 기록된 Lot No와 제조지시서의 일치성을 확인한다.
     ③ 가접 제품 자재별 홀가공수로 제품과 제조 시서 바뀜을 확인한다.
     ④ MPQA로 2D각인이 되어있는 가접 제품에 대해 제조지시서와 일치성을 Barco④e로 찍어서 확인한다.</t>
  </si>
  <si>
    <t>출하 검사의 두께 측정 시 필수사항으로 옳지 않은 것은?
     ① 표준 시편 검증은 모든 측정기가 2회/조 실행되어야 한다. 
     ② 측정기 0점 확인은 매 Lot별 진행되어야 한다.
     ③ 표준 시편 검증 시 게이지 블럭 기준 공차는 ±5um이다.  
     ④ ISD+ 자동 게더링 시 저장 경로는 반드시 설정해줘야 한다.</t>
    <phoneticPr fontId="1" type="noConversion"/>
  </si>
  <si>
    <t>자동 두께 측정기 운용 중 옳지 않은 것은?
     ① 자동 두께 측정 후 이상 판넬 검출 시 RFC에 의거 재측정 한다.
     ② 자동 두께 측정기 0점은 매 Lot 측정 후 수동으로 잡아줘야 한다.
     ③ 자동 두께 측정 후 IS④는 자동 게더링을 한다.
     ④ 자동 두께 측정 완료 후 IS④ 자동 게더링 후 OOC,OOS가 발생되었는지 확인한다.</t>
    <phoneticPr fontId="1" type="noConversion"/>
  </si>
  <si>
    <t>출하 검사 시 혼입 방지를 위한 행동이 아닌 것은?
     ① 가접 제품의 자동 두께 측정 시 동일 관리 번호만 투입 진행한다.
     ② 두께 측정 전 제품 더미에 Lot No기록 유,무와 제조지시서 일치 여부 확인 후 이상이 없을 시 
        LOT NO 다시 기록한다.
     ③ 자동 두께 측정 후 배출단 제품 회수 시 Lot by Lot로 취출하며 제조지시서와 일치하게 놓는다.
     ④ 자동 두께 측정 후 배출단 제품 회수 시 통째로 배출하여 표면검사 시 제조지시서와 일치하게 놓는다.</t>
    <phoneticPr fontId="1" type="noConversion"/>
  </si>
  <si>
    <t>공정에서 교육을 받으며 여러 표준 문서를 접해보셨을 텐데요. 아래 설명은 어떤 표준에 대한 설명일까요?
     [  제품을 생산하기 위한 현장 작업자의 작업 순서 및 방법을 기술한 표준으로 작업 순서를 명확하게 그림과 설명으로 표현 되어있다. 작업 순서 및 방법이 틀릴 경우 불량이 발생할 수 있다.  ]</t>
    <phoneticPr fontId="1" type="noConversion"/>
  </si>
  <si>
    <t>다음 설명 내용은 제품을 생산함에 있어 정말 중요한 항목 중 하나 입니다. 무엇에 대해 설명하고 있는 걸까요? 
     [  제품을 다음 공정에 보내도 좋은가를 판정하기 위해 제조 Line에서 작업 중 혹은 작업이 완료된 제품을 검사하는 것을 말한다. 각 공정의 특성에 따라 전수 또는 Sampling검사를 한다.  ]</t>
    <phoneticPr fontId="1" type="noConversion"/>
  </si>
  <si>
    <t xml:space="preserve">아래 빈칸에 알맞은 답을 적어주세요. 
     [  올바른 작업을 하기 위해서는 표준 작업을 준수하는 것으로서 (     )을 준수하여 작업한다. (     )이란, 일단 정해지면 지켜져야 하며 사용해 보고 잘못된 점이 있으면 보다 좋은 방법으로 개선한다.  ] </t>
    <phoneticPr fontId="1" type="noConversion"/>
  </si>
  <si>
    <t>[VDA 6.3] 다음은 무엇을 정의한 것인지 (       ) 안에 적절한 용어를 쓰시오.
     [  (      ) 목적은 오류, 취약점 및 실수의 잠재적 원인을 조기에 발견하는 것이다. 그 결과는 조직적인 리스크 분석에서 평가되어 예방 조치를 시작한다. (      ) 방법은 "고객에 대한 중요성", "발생 확률", "탐지 확률"의 기준에 따라서 잠재적 오류의 우선 순위를 정한다.  ]</t>
    <phoneticPr fontId="1" type="noConversion"/>
  </si>
  <si>
    <t xml:space="preserve">[VDA 6.3] 다음은 무엇을 정의한 것인지 (       ) 안에 들어갈 적절한 용어를 쓰시오.
     [  (     ) 목적은 오류/취약점 및 실수의 잠재적 원인을 조기에 발견하는 것이다. 그 결과는 조직적인 리스크 분석에서 평가되어 예방 조치를 시작한다. (      ) 방법은 "고객에 대한 중요성"/"발생 확률"/"탐지 확률"의 기준에 따라서 잠재적 오류의 우선 순위를 정한다.  ]
</t>
    <phoneticPr fontId="1" type="noConversion"/>
  </si>
  <si>
    <t>[VDA 6.3] 다음은 무엇을 정의한 것인지 (       ) 안에 들어갈 적절한 용어를 쓰시오.
     [  (       ) 목적은 오류, 취약점 및 실수의 잠재적 원인을 조기에 발견하는 것이다. 그 결과는 조직적인 리스크 분석에서 평가되어 예방 조치를 시작한다. (       ) 방법은 "고객에 대한 중요성", "발생 확률", "탐지 확률"의 기준에 따라서 잠재적 오류의 우선 순위를 정한다.  ]</t>
    <phoneticPr fontId="1" type="noConversion"/>
  </si>
  <si>
    <t>[VDA 6.3] 다음은 무엇을 정의한 것인지 (       ) 안에 들어갈 적절한 용어를 쓰시오.
     [  (      ) 목적은 오류/취약점 및 실수의 잠재적 원인을 조기에 발견하는 것이다. 그 결과는 조직적인 리스크 분석에서 평가되어 예방 조치를 시작한다. (        ) 방법은 "고객에 대한 중요성"/"발생 확률"/"탐지 확률"의 기준에 따라서 잠재적 오류의 우선 순위를 정한다.  ]</t>
    <phoneticPr fontId="1" type="noConversion"/>
  </si>
  <si>
    <t>[VDA 6.3] 다음은 무엇을 정의한 것인지 (          ) 안에 적절한 용어를 쓰시오.
     [  (          ) 목적은 오류/취약점 및 실수의 잠재적 원인을 조기에 발견하는 것이다. 그 결과는 조직적인 리스크 분석에서 평가되어 예방 조치를 시작한다. (         ) 방법은 "고객에 대한 중요성"/"발생 확률"/"탐지 확률"의 기준에 따라서 잠재적 오류의 우선 순위를 정한다.  ]</t>
    <phoneticPr fontId="1" type="noConversion"/>
  </si>
  <si>
    <t>다음 (          ) 안의 빈칸을 채우시오. 
     [   MR-301 농도 분석 계산 = (        )*(50-소모된 0.1N Na2S2O3 ㎖ 수)   ]</t>
    <phoneticPr fontId="1" type="noConversion"/>
  </si>
  <si>
    <t>다음 (          ) 안에 알맞은 용어를 쓰시오.
     [  MR-301 농도 분석 계산 = (      )*(50-소모된 0.1N Na2S2O3 ㎖ 수) ]</t>
    <phoneticPr fontId="1" type="noConversion"/>
  </si>
  <si>
    <t>[VDA 6.3] 다음은 무엇을 정의한 것인지 (          ) 안에 적절한 용어를 쓰시오.
     [  (        ) 목적은 오류/취약점 및 실수의 잠재적 원인을 조기에 발견하는 것이다. 그 결과는 조직적인 리스크 분석에서 평가되어 예방 조치를 시작한다. (        ) 방법은 "고객에 대한 중요성"/"발생 확률"/"탐지 확률"의 기준에 따라서 잠재적 오류의 우선 순위를 정한다. ]</t>
    <phoneticPr fontId="1" type="noConversion"/>
  </si>
  <si>
    <t>다음 빈칸에 들어갈 말을 쓰시오
     [  제품의 외곽 모서리 (             )의 컷팅 사이즈를 측정 기록 후 이상 시 조치는 해당 Lot는 검사를 중지하고 부적격 구역에 보관후 (             ) 또는 (              )에 보고한다. ]</t>
    <phoneticPr fontId="1" type="noConversion"/>
  </si>
  <si>
    <t>[VDA 6.3] 다음은 무엇을 정의한 것인지 (          ) 안에 적절한 용어를 쓰시오.
     [  (        ) 목적은 오류/취약점 및 실수의 잠재적 원인을 조기에 발견하는 것이다. 그 결과는 조직적인 리스크 분석에서 평가되어 예방 조치를 시작한다. (         ) 방법은 "고객에 대한 중요성"/"발생 확률"/"탐지 확률"의 기준에 따라서 잠재적 오류의 우선 순위를 정한다. ]</t>
    <phoneticPr fontId="1" type="noConversion"/>
  </si>
  <si>
    <t>옥사이드 공정의 설명이다. (     ) 안에 알맞은 말을 쓰시오.
     [  V-PRESS 성형 前 에칭 약품으로 Cu표면에 조도(거칠기)를 형성하여 (        )와
        (        )와의 밀착력을 향상시키기 위한 공정  ]</t>
    <phoneticPr fontId="1" type="noConversion"/>
  </si>
  <si>
    <t>[VDA 6.3] 다음은 무엇을 정의한 것인지 (          ) 안에 적절한 용어를 쓰시오.
     [  (         )목적은 오류,취약점 및 실수의 잠재적 원인을 조기에 발견하는 것이다. 그 결과는 조직적인 리스크 분석에서 평가되어 예방 조치를 시작한다. (          )방법은 "고객에 대한 중요성", "발생 확률", "탐지 확률"의 기준에 따라서 잠재적 오류의 우선 순위를 정한다.  ]</t>
    <phoneticPr fontId="1" type="noConversion"/>
  </si>
  <si>
    <t>"더글라스"의 설명이다. (       )안을 채우시오.
     [  SUS Plate 및 Copper Foil면의 (         )를 위해 (         )를 부착한 직육면체 형태의 Tool.   ]</t>
    <phoneticPr fontId="1" type="noConversion"/>
  </si>
  <si>
    <t xml:space="preserve">[VDA 6.3] 다음은 무엇을 정의한 것인지 괄호 안에 적절한 용어를 쓰시오.
     [  (        )목적은 오류/취약점 및 실수의 잠재적 원인을 조기에 발견하는 것이다. 그 결과는 조직적인 리스크 분석에서 평가되어 예방 조치를 시작한다.  (          )방법은 "고객에 대한 중요성"/"발생 확률"/"탐지 확률"의 기준에 따라서 잠재적 오류의 우선 순위를 정한다.  ] </t>
    <phoneticPr fontId="1" type="noConversion"/>
  </si>
  <si>
    <t>다음 중 (  )괄호 안에 들어갈 말은?
     [  Lay-up 공정은 적층 전처리 진행된 내층 CCL제품에 제품사양 층구성에 맞게 PPG, (    ), SUS 치공구를 구성하여 Press 작업을 준비하는 공정이다.  ]</t>
    <phoneticPr fontId="1" type="noConversion"/>
  </si>
  <si>
    <t>다음 중 (  )괄호 안에 들어갈 말은?
     [  PPG 알미늄 Pack을 개봉할때는 칼,가위를 사용하면 안되고 (     )를 사용하여 개봉해야 한다.  ]</t>
    <phoneticPr fontId="1" type="noConversion"/>
  </si>
  <si>
    <t>다음 중 (  )괄호 안에 들어갈 말은?
     [  제품 BOX 세정 주기는 (    )회 사용 후 세정을 한다.  ]</t>
    <phoneticPr fontId="1" type="noConversion"/>
  </si>
  <si>
    <t>PRESS 공정의 설명이다. (          ) 안에 알맞은 말을 쓰시오.
     [  내층 회로 형성과 흑화 처리가 완료된 내층 CCL과 (        )를 일정한 두께에 따라 조합하여, Vacuum PRESS를 이용하여 (         ), 가압에 의하여 성형하는 공정.  ]</t>
    <phoneticPr fontId="1" type="noConversion"/>
  </si>
  <si>
    <t xml:space="preserve">PRESS 공정의 설명이다. (       ) 안에 알맞은 말을 쓰시오.
     [  내층 회로형성과 흑화 처리가 완료된 내층 CCL과 (           )를 일정한 두께에 따라 조합하여, Vacuum PRESS를 이용하여 (             ), 가압에 의하여 성형하는 공정.  ]
</t>
    <phoneticPr fontId="1" type="noConversion"/>
  </si>
  <si>
    <t>[VDA 6.3] 다음은 무엇을 정의한 것인지 (       ) 안에 적절한 용어를 쓰시오.
     [   (         )목적은 오류,취약점 및 실수의 잠재적 원인을 조기에 발견하는 것이다. 그 결과는 조직적인 리스크 분석에서 평가되어 예방 조치를 시작한다.  (             ) 방법은 "고객에 대한 중요성", "발생 확률", "탐지 확률"의 기준에 따라서 잠재적 오류의 우선 순위를 정한다.  ]</t>
    <phoneticPr fontId="1" type="noConversion"/>
  </si>
  <si>
    <t>다음은 CZ 탈지단에 포함되어 있는 약품의 원소 기호로, (       ) 안에 들어갈 알맞은 용어를 쓰시오.
     [  황산(H2SO4),(                             ) , 구리(Cu)  ]</t>
    <phoneticPr fontId="1" type="noConversion"/>
  </si>
  <si>
    <t>[VDA 6.3] 다음은 무엇을 정의한 것인지 (          ) 안에 적절한 용어를 쓰시오.
     [  (         ) 목적은 오류, 취약점 및 실수의 잠재적 원인을 조기에 발견하는 것이다. 그 결과는 조직적인 리스크 분석에서 평가되어 예방 조치를 시작한다. (         ) 방법은 "고객에 대한 중요성", "발생 확률", "탐지 확률"의 기준에 따라서 잠재적 오류의 우선 순위를 정한다. ]</t>
    <phoneticPr fontId="1" type="noConversion"/>
  </si>
  <si>
    <t xml:space="preserve">다음은 수직 흑화 Cleaner단의 액 분석 방법으로, (          ) 안에 들어갈 알맞은 말을 쓰시오.
     ※ MC9028P
     1) 준비 시약
       - 1.0N HCl : HCl(35%)88.2㎖ / 순수 보충 후 1ℓ
       - (                      ) 지시약 : PP 분말 1g + 에틸 알콜 50㎖ + 순수 50㎖ </t>
    <phoneticPr fontId="1" type="noConversion"/>
  </si>
  <si>
    <t>다음은 수직 흑화 Cleaner단의 액 분석 방법으로, (       ) 안에 들어갈 알맞은 용어를 쓰시오.
      ※ MC9028P
       2) 분석 방법
        - 작업 조에서 현장액10㎖ 채취하여 250㎖ 삼각 플라스크에 넣는다.
        - 순수 50㎖를 첨가한다.
        - (                       ) 지시약을 2~3방울 넣는다.
        - 1.0N HCl로 적정한다. (색변화 :                 →                )</t>
    <phoneticPr fontId="1" type="noConversion"/>
  </si>
  <si>
    <t xml:space="preserve">다음은 수직 흑화 Cleaner단의 액 분석 방법으로, (       ) 안에 들어갈 알맞은 용어를 쓰시오.
     ※ MC9028P
     1) 준비 시약
       - 1.0N HCl : HCl(35%)88.2㎖ / 순수 보충 후 1ℓ
       - (           ) 지시약 : PP 분말 1g + 에틸 알콜 50㎖ + 순수 50㎖ </t>
    <phoneticPr fontId="1" type="noConversion"/>
  </si>
  <si>
    <t>[VDA 6.3] 다음은 무엇을 정의한 것인지 괄호 안에 적절한 용어를 쓰시오.
     [   (       ) 목적은 오류, 취약점 및 실수의 잠재적 원인을 조기에 발견하는 것이다. 그 결과는 조직적인 리스크 분석에서 평가되어 예방 조치를 시작한다. (       ) 방법은 "고객에 대한 중요성", "발생 확률", "탐지 확률"의 기준에 따라서 잠재적 오류의 우선 순위를 정한다.  ]</t>
    <phoneticPr fontId="1" type="noConversion"/>
  </si>
  <si>
    <t>다음은 무엇을 정의한 것인지 괄호 안에 적절한 용어를 쓰시오.
     [   (        )목적은 오류,취약점 및 실수의 잠재적 원인을 조기에 발견하는 것이다. 그 결과는 조직적인 리스크 분석에서 평가되어 예방조치를 시작한다. (         )방법은 "고객에 대한 중요성", "발생 확률", "탐지 확률"의 기준에 따라서 잠재적 오류의 우선순위를 정한다.  ]</t>
    <phoneticPr fontId="1" type="noConversion"/>
  </si>
  <si>
    <t>열판부 세정 PM 주의사항으로 알맞지 않는 것은?
     ① 작업 전 온도를 주의한다.(40℃ 이하 일때만 작업을 실시한다.)
     ② 전기 안전에 주의한다.
     ③ 보안경 및 마스크를 미 착용하고 실시한다.
     ④ 완료 후 (자연)건조 및 환기를 한다.</t>
    <phoneticPr fontId="1" type="noConversion"/>
  </si>
  <si>
    <t>X-ray 홀 펀치 Air 압력 관리 범위는?
     ① 0.5±0.1㎫     ② 0.6±0.1㎫     ③ 0.7±0.1㎫     ④ 0.5±0.2㎫</t>
    <phoneticPr fontId="1" type="noConversion"/>
  </si>
  <si>
    <t>X-ray 홀 펀칭(MXP-908) 관리 Hit 수는?
     ① 10000회     ② 1000회     ③ 100회     ④ 100000회</t>
    <phoneticPr fontId="1" type="noConversion"/>
  </si>
  <si>
    <t xml:space="preserve">X-ray Drill 한송(2호기) 설비의 집진 주파수 압력 관리 범위는? 
     ① 50㎐±20㎐     ② 60㎐±20㎐     ③ 70㎐±20㎐     ④ 80㎐±20㎐ </t>
    <phoneticPr fontId="1" type="noConversion"/>
  </si>
  <si>
    <t>X-ray Drill 설비 Air 압력 관리 범위는?
     ① 0.6±0.1㎫     ② 0.5±0.1㎫     ③ 0.7±0.1㎫     ④ 0.5±0.2㎫</t>
    <phoneticPr fontId="1" type="noConversion"/>
  </si>
  <si>
    <t>X-ray Drill 설비 집진 압력 관리 범위는? 
     ① 300mmaq 이상     ② 400mmaq 이상     ③ 400~600mmaq     ④ 1000mmaq 이하</t>
    <phoneticPr fontId="1" type="noConversion"/>
  </si>
  <si>
    <t xml:space="preserve">3정 5S 항목을 바르게 나열한 것은?
      ① 3정(정품/정량/정돈)      5S(정리/정위치/청소/청결/습관화)   
      ② 3정(정품/정량/정위치)    5S(정리/정돈/청소/청결/습관화)
      ③ 3정(정품/정리/정돈)      5S(정량/정위치/청소/청결/습관화)  
      ④ 3정(습관화/정량/정위치)  5S(정리/정위치/청소/청결/정품)
</t>
    <phoneticPr fontId="1" type="noConversion"/>
  </si>
  <si>
    <t>홀 3.15Ø를 기준으로 홀 경 측정 시 사용하는 Pin Gauge의 종류로 맞지 않는 것은?
      ① 3.130     ② 3.150     ③ 3.165     ④ 3.175</t>
    <phoneticPr fontId="1" type="noConversion"/>
  </si>
  <si>
    <t>MXP-908 설비의 설명으로 맞는 것은?
      ① Laser Hole 가공 설비     ② Router 가공 설비     ③ Bit Type 가공 설비     ④ Punch Type 가공 설비</t>
    <phoneticPr fontId="1" type="noConversion"/>
  </si>
  <si>
    <t>X-ray 홀 가공의 ∮는?
      ① 3.15∮     ② 3.14∮     ③ 3.165∮     ④ 3.175∮</t>
    <phoneticPr fontId="1" type="noConversion"/>
  </si>
  <si>
    <t>제품 적치 방법이 알맞은 것은?
      ① 관리 번호 방향이 좌측 하단으로 적치      
      ② Lot 각인 방향이 우측 하단으로 적치
      ③ 층 번호가 좌측 중앙으로 적치              
      ④ 내층 2D Barcode 방향이 상단 중앙으로 적치</t>
    <phoneticPr fontId="1" type="noConversion"/>
  </si>
  <si>
    <t>홀 편심 알람 발생 시 조치 내용으로 맞는 것은? 
      ① 무시 후 정상 진행     ② 설비 Main 전원 ON/OFF     ③ Zero Set 재실시     ④ Slip 값 상향 변경</t>
    <phoneticPr fontId="1" type="noConversion"/>
  </si>
  <si>
    <t xml:space="preserve">X-ray Hole 가공 후 자주검사 항목으로 알맞은 것은?
      ① 홀 경 검사, Hole Burr, 홀 축소   
      ② 기판 Size, 홀 편심 검사, 홀 경 검사  
      ③ 홀 편심 검사, 홀 경 검사, 홀 Burr 검사  
      ④ 홀 경 검사, 기판 Size 검사, 홀 편심 검사  </t>
    <phoneticPr fontId="1" type="noConversion"/>
  </si>
  <si>
    <t>다음 중 BGA Target간 거리 값 Spec은 500±(     ) 무엇인가?
      ① 0.5     ② 1     ③ 2     ④ 3</t>
    <phoneticPr fontId="1" type="noConversion"/>
  </si>
  <si>
    <t>X-ray 작업 전 Zero Set을 설정하지 않을 때 발생할 수 있는 불량은?
     ① 홀 확장     ② 홀 편심     ③ 오관통     ④ 기판파손</t>
    <phoneticPr fontId="1" type="noConversion"/>
  </si>
  <si>
    <t>한송 X-ray Drill 집진 압력 관리 수는?
     ① 200 mmaq
     ② 300 mmaq
     ③ 400 mmaq
     ④ 500 mmaq</t>
    <phoneticPr fontId="1" type="noConversion"/>
  </si>
  <si>
    <t>볼트를 조일때 토크렌치를 사용하는데 이때 토크렌지의 설정 값으로 알맞은 것은?
     ① 3.5 N·m
     ② 3.6 N·m
     ③ 3.7 N·m
     ④ 3.8 N·m</t>
    <phoneticPr fontId="1" type="noConversion"/>
  </si>
  <si>
    <t>X-ray 혼입 방지를 하는 행위로 옳지 않은 것은? 
      ① 작업 시 Lot by Lot로 1Lot씩 작업을 하여야 한다. (작업 적치대에 1Lot만 놓을 것)
      ② 작업 전 이전 공정 Lot No 기록사항, 제품 내부 각인 또는 Target 하단 관리 번호 확인 후,
          더미에 Lot No를 기록한다.
      ③ 작업 후 제조 지시서의 Lot No를 보고 더미부에 기록한다.
      ④ 혼입 방지를 위해 이전 공정에서 Lot No를 기록하지 않은 Lot는 이전 공정으로 반품하여
          확인 절차를 밟는다.</t>
    <phoneticPr fontId="1" type="noConversion"/>
  </si>
  <si>
    <t>다음은 무엇을 정의한 것인지 (         ) 안에 적절한 용어를 쓰시오.
     [  홀 편심 검사 방법은 X-ray 설비를 이용하여 육안 검사를 하며, 홀 경 검사는 Pin Gauge를 사용하여 검사한다. Pin Gauge 검사 확인 방법은 3.130 안 들어감 (          ) 3.165 들어감, 안 들어감 (            ) 3.175 들어감 (             )이다. ]</t>
    <phoneticPr fontId="1" type="noConversion"/>
  </si>
  <si>
    <t xml:space="preserve">아래 내용은 무엇에 대한 설명을 하고 있는 것인가요? 
     (( 1.정리 → 2.정돈 → 3.청소 )  → 4.청결  ) → 5.생활화 </t>
    <phoneticPr fontId="1" type="noConversion"/>
  </si>
  <si>
    <t>Dual Detach 분리기에서 블레이드 속도 기준으로 맞는것은?
     ① 8~9m/min
     ② 8.2~9m/min
     ③ 8~9.2m/min
     ④ 8.2~9.2m/min</t>
    <phoneticPr fontId="1" type="noConversion"/>
  </si>
  <si>
    <t>다음 중 ( )괄호안에 들어갈 내용을 쓰시오.
     [  시편 보관 방법은 진공 포장 또는 데시케이터에 담아 보관한다. 시편 보관 기간은  (  )개월이며, 시편 회수 시 건조단 커버 OPEN을 금지한다.  ]</t>
    <phoneticPr fontId="1" type="noConversion"/>
  </si>
  <si>
    <t>다음 중 ( )괄호안에 들어갈 내용을 쓰시오.
     [ 실리콘 매트 검사방법은 매트 세정 후 매트 표면에 접착된 이물이 없어야 하며, (  )cm 이상 찢어짐이나 파손 발생 시 교체할 것 (일상 교체는 1회/3개월)  ]</t>
    <phoneticPr fontId="1" type="noConversion"/>
  </si>
  <si>
    <t>다음 중 ( )괄호안에 들어갈 내용을 쓰시오.
     [  CZ기판 말림 예방을 위하여 4면 휨 검사를 진행하며 (      )T 이하 제품에 대해 실시하고 작업일보에 기록 한다.  ]</t>
    <phoneticPr fontId="1" type="noConversion"/>
  </si>
  <si>
    <t>다음 중 ( )괄호안에 들어갈 내용을 쓰시오.
     [ CZ기판 말림 예방을 위하여 휨검출 센서를 운영하는데 설정값은 (   )mm Setting 하여 운영 한다.  ]</t>
    <phoneticPr fontId="1" type="noConversion"/>
  </si>
  <si>
    <t>다음 중 ( )괄호안에 들어갈 내용을 쓰시오.
     [  최종수세 전도도 Specd은  (     )MΩ 이상이여야 한다.  ]</t>
    <phoneticPr fontId="1" type="noConversion"/>
  </si>
  <si>
    <t>다음 중 ( )괄호안에 들어갈 내용을 쓰시오.
     [  인입 전도도 Specd은 (   )MΩ 이상이여야 한다.  ]</t>
    <phoneticPr fontId="1" type="noConversion"/>
  </si>
  <si>
    <t>다음 (  )괄호 안에 들어갈 말을 쓰시오.
     [  시편 보관 방법은 진공 포장 또는 데시케이터에 담아 보관한다. 시편 보관 기간은  (  )개월이며, 시편 회수 시 건조단 커버 OPEN을 금지한다.  ]</t>
    <phoneticPr fontId="1" type="noConversion"/>
  </si>
  <si>
    <t>다음 (  )괄호 안에 들어갈 말을 쓰시오.
     [  실리콘 매트 검사방법은 매트 세정 후 매트 표면에 접착된 이물이 없어야 하며, (  )cm 이상 찢어짐이나 파손 발생 시 교체할 것(일상 교체는 1회/3개월)  ]</t>
    <phoneticPr fontId="1" type="noConversion"/>
  </si>
  <si>
    <t>다음 (  )괄호 안에 들어갈 말을 쓰시오.
     [  CZ기판 말림 예방을 위하여 4면 휨 검사를 진행하며, (      )T 이하 제품에 대해 실시하고 작업일보에 기록 한다.  ]</t>
    <phoneticPr fontId="1" type="noConversion"/>
  </si>
  <si>
    <t>다음 (  )괄호 안에 들어갈 말을 쓰시오.
     [  CZ기판 말림 예방을 위하여 휨검출 센서를 운영하는데 설정값은 (   )mm Setting 하여 운영 한다.  ]</t>
    <phoneticPr fontId="1" type="noConversion"/>
  </si>
  <si>
    <t>다음 (  )괄호 안에 들어갈 말을 쓰시오.
     [  최종수세 전도도 Specd은 (   )MΩ 이상이여야 한다.  ]</t>
    <phoneticPr fontId="1" type="noConversion"/>
  </si>
  <si>
    <t>다음 (  )괄호 안에 들어갈 말을 쓰시오.
     [  인입 전도도 Specd은 (   )MΩ 이상이여야 한다.  ]</t>
    <phoneticPr fontId="1" type="noConversion"/>
  </si>
  <si>
    <t xml:space="preserve">더글라스'의 설명이다. (       )안을 채우시오.
     [  SUS Plate 및 Copper Foil면의 (          )를 위해 (          )를 부착한 직육면체 형태의 Tool.  ]
</t>
    <phoneticPr fontId="1" type="noConversion"/>
  </si>
  <si>
    <t xml:space="preserve">3정 5S' 항목을 바르게 나열한 것은?
     ① 3정(정품/정량/정돈)          5S(정리/정위치/청소/청결/습관화)
     ② 3정(정품/정량/정위치)       5S(정리/정돈/청소/청결/습관화)
     ③ 3정(정품/정리/정돈)          5S(정량/정위치/청소/청결/습관화)
     ④ 3정(습관화/정량/정위치)    5S(정리/정위치/청소/청결/정품)
</t>
    <phoneticPr fontId="1" type="noConversion"/>
  </si>
  <si>
    <t>Dual Detach Cutting시 Plat Bar 관리 기준은?
     ① 마모 없을 것
     ② 3mm 이하일 것
     ③ 2mm 이하일 것
     ④ 1mm 이하일 것</t>
    <phoneticPr fontId="1" type="noConversion"/>
  </si>
  <si>
    <t xml:space="preserve">Dual Detach Cutting시 Plat Bar 관리 기준은?
     ① 마모 없을 것
     ② 3mm 이하일 것
     ③ 2mm 이하일 것
     ④ 1mm 이하일 것
</t>
    <phoneticPr fontId="1" type="noConversion"/>
  </si>
  <si>
    <t xml:space="preserve">Dual Detach Cutting 후 PLP 제품 자주검사 주기는?
     ① 초품/Lot
     ② 초품,말품/조
     ③ 말품/Lot
     ④ 초품,말품/Lot
</t>
    <phoneticPr fontId="1" type="noConversion"/>
  </si>
  <si>
    <t xml:space="preserve">Dual Detach Cutting 시 PLP 제품 자주검사 항목으로 맞는것은? 
     ① 커팅 Size를 측정한다.
     ② 상처 및 스크래치를 검사한다.
     ③ 적층이물을 검사한다.
     ④ 제품 Size를 측정한다.
</t>
    <phoneticPr fontId="1" type="noConversion"/>
  </si>
  <si>
    <t xml:space="preserve">Carrier Detach 공정 작업자로 맞는 것은? 
     ① 단순 공정으로 아무나 작업할 수 있다.
     ② Dual detach 작업자만 작업을 할 수 있다.
     ③ Dual detach 작업자, X-Ray 작업자만 작업할 수 있다.
     ④ 작업자 인증을 받은 사람은 누구나 할 수 있다.
</t>
    <phoneticPr fontId="1" type="noConversion"/>
  </si>
  <si>
    <t>Dual Detach 분리기에서 블레이드 표면 확인 방법은 ?
     ① 찍힘이 없을 것
     ② 상처가 없을 것
     ③ 찍힘,상처가 없을 것
     ④ 찍힘, 상처, 스크래치가 없을 것</t>
    <phoneticPr fontId="1" type="noConversion"/>
  </si>
  <si>
    <t xml:space="preserve">Dual Detach 공정에서 나올 수 없는 불량은?
     ① 구김 불량 : 제품 취급 과정에서의 구김 발생
     ② 파손 불량 : 취급성 또는 레진붙음, 액침투에 의한 파손 발생
     ③ 휨 불량 : 분리 방법 미 준수에 의한 휨 발생
     ④ 적층 이물 : 제품 취급 중 이물이 제품에 전이되어 불량 발생
</t>
    <phoneticPr fontId="1" type="noConversion"/>
  </si>
  <si>
    <t>X-ray 인식기 작업 진행 중 단순 Error 발생 시 조치 방법으로 알맞은 것은?  (Alarm 해제는 공통)
     ① 정지-초기화-운전
     ② 정지-리셋-운전
     ③ 일시 정지-운전
     ④ 일시 정지-리셋-초기화-운전</t>
    <phoneticPr fontId="1" type="noConversion"/>
  </si>
  <si>
    <t>신입용 (공통)</t>
  </si>
  <si>
    <t>관리 Spec에는  OOC 와 OOS 가 있습니다.  Spec Over가 되기 전 사전 관리를 위한 관리 Spec을 무엇이라 부를까요?
      ① OOC
      ② OCO
      ③ OOS
      ④ SOS</t>
    <phoneticPr fontId="1" type="noConversion"/>
  </si>
  <si>
    <t>현장에서 작업을 시작하게 되면 제품을 직접 취급해야 되는 경우가 있는데요. 제품 취급과 관련하여 하기 예시 중 올바른 취급 방법은 무엇일까요?
      ① 한손 취급 (제품 정가운데를 들어올린다)
      ② 양손 취급 (양옆으로 잡는다)
      ③ 한손 취급 (모서리쪽을 잡는다)
      ④ 양손 취급 (대각선으로 잡는다)</t>
    <phoneticPr fontId="1" type="noConversion"/>
  </si>
  <si>
    <t>현장 근무 시 SEM-PRO 활동 시간이라는 안내 방송이 송출 됩니다. SEM-PRO 활동 안내 방송 시 취해야 할 행동은 어떤 것인가요?
      ① 잠시 하던 일을 멈추고 주변 정리 정돈 및 청소를 진행한다.
      ② 현장 기록 문서 (일상 점검표, 작업 일보 등) 의 기록 누락이 있는지 확인한다.
      ③ 잠시 가벼운 운동으로 몸이 경직되어 발생할 수 있는 안전사고를 예방한다.
      ④ 작업 중이던 제품의 조건을 다시 한번 확인 한다.</t>
    <phoneticPr fontId="1" type="noConversion"/>
  </si>
  <si>
    <t>현장 출입 시에 필수인 Air Shower 유지시간을 임의 변경해서는 안되며, 유지 시간이 기준과 상이하면 관리자에게 통보하여 조치가 필요합니다. Air Shower의 유지시간 기준은 몇 초 일까요?
       ① 10초
       ② 30초
       ③ 60초
       ④ 90초</t>
    <phoneticPr fontId="1" type="noConversion"/>
  </si>
  <si>
    <t>제품 생산 시 중요한 조건 중에 온/습도에 대한 관리 기준이 있습니다. 교육 중이신 공정의 온/습도 관리 기준은 얼마인가요?
       온도 :                                   ℃  ,  습도 :                                    %</t>
    <phoneticPr fontId="1" type="noConversion"/>
  </si>
  <si>
    <t>현장 근무 시 SEM-PRO 활동 시간이라는 안내 방송이 송출 됩니다. SEM-PRO 활동 안내 방송 시에 취해야 할 행동은 어떤 것인가요?
      ① 작업 중이던 제품의 조건을 다시 한번 확인 한다.
      ② 현장 기록 문서 (일상 점검표, 작업 일보 등) 의 기록 누락이 있는지 확인한다.
      ③ 잠시 가벼운 운동으로 몸이 경직되어 발생할 수 있는 안전사고를 예방한다.
      ④ 잠시 하던 일을 멈추고 주변 정리 정돈 및 청소를 진행한다.</t>
    <phoneticPr fontId="1" type="noConversion"/>
  </si>
  <si>
    <t>PIN 게이지 교환 주기는 ? 
     ① 1년
     ② 2년
     ③ 3년
     ④ 육안으로 교환 판단시에 교환한다.</t>
    <phoneticPr fontId="1" type="noConversion"/>
  </si>
  <si>
    <t>2번</t>
    <phoneticPr fontId="1" type="noConversion"/>
  </si>
  <si>
    <t>ISD 두께 입력(저장) 전 확인해야 할 사항이 아닌 것은?
     ① 두께 측정 수량     ② 두께 측정 값     ③ 제품 정보(관리 번호, Lot No)     ④ PRESS 호기</t>
    <phoneticPr fontId="1" type="noConversion"/>
  </si>
  <si>
    <r>
      <t xml:space="preserve">영점 조정 시 주의사항으로 틀린 것은?
</t>
    </r>
    <r>
      <rPr>
        <sz val="21"/>
        <color theme="1"/>
        <rFont val="돋움"/>
        <family val="3"/>
        <charset val="129"/>
      </rPr>
      <t xml:space="preserve">
     ① 두께 측정기 '0'점 확인 후 측정값이 관리 기준을 벗어날 경우, 측정기 사용을 중지하고 조/반장에게 보고하여 조치에 따른다.</t>
    </r>
    <r>
      <rPr>
        <sz val="22"/>
        <color theme="1"/>
        <rFont val="돋움"/>
        <family val="3"/>
        <charset val="129"/>
      </rPr>
      <t xml:space="preserve">
     ② 블록 게이지를 측정기 PLATE 위에 올려 놓을 시 가운데 정렬이 되도록 한다.
     ③ 영점 오류에 의한 OOC or OOS 발생 시 일일 점검 체크시트 특기사항 기록란에 조치 내용을 기록한다.
     ④ 스위치를 누른 상태에서 ZERO 버튼을 눌러 0점을 1번 조정한다.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</si>
</sst>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2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FF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48"/>
      <color theme="1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20"/>
      <color theme="1"/>
      <name val="맑은 고딕"/>
      <family val="2"/>
      <charset val="129"/>
      <scheme val="minor"/>
    </font>
    <font>
      <sz val="20"/>
      <color rgb="FF0000FF"/>
      <name val="돋움"/>
      <family val="3"/>
      <charset val="129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3"/>
      <charset val="129"/>
      <scheme val="minor"/>
    </font>
    <font>
      <sz val="22"/>
      <color theme="1"/>
      <name val="돋움"/>
      <family val="3"/>
      <charset val="129"/>
    </font>
    <font>
      <sz val="16"/>
      <color rgb="FF0000F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0000FF"/>
      <name val="맑은 고딕"/>
      <family val="2"/>
      <charset val="129"/>
      <scheme val="minor"/>
    </font>
    <font>
      <sz val="24"/>
      <color rgb="FF0000FF"/>
      <name val="맑은 고딕"/>
      <family val="3"/>
      <charset val="129"/>
      <scheme val="minor"/>
    </font>
    <font>
      <sz val="22"/>
      <color rgb="FF0000FF"/>
      <name val="돋움"/>
      <family val="3"/>
      <charset val="129"/>
    </font>
    <font>
      <sz val="22"/>
      <color rgb="FF0000FF"/>
      <name val="맑은 고딕"/>
      <family val="3"/>
      <charset val="129"/>
      <scheme val="minor"/>
    </font>
    <font>
      <sz val="22"/>
      <color rgb="FF000000"/>
      <name val="맑은 고딕"/>
      <family val="3"/>
      <charset val="129"/>
      <scheme val="minor"/>
    </font>
    <font>
      <sz val="22"/>
      <color rgb="FF0000FF"/>
      <name val="굴림"/>
      <family val="3"/>
      <charset val="129"/>
    </font>
    <font>
      <sz val="21"/>
      <color theme="1"/>
      <name val="돋움"/>
      <family val="3"/>
      <charset val="129"/>
    </font>
    <font>
      <sz val="20"/>
      <color theme="1"/>
      <name val="맑은 고딕"/>
      <family val="3"/>
      <charset val="129"/>
      <scheme val="minor"/>
    </font>
    <font>
      <sz val="22"/>
      <color theme="1"/>
      <name val="맑은 고딕"/>
      <family val="3"/>
      <charset val="129"/>
      <scheme val="minor"/>
    </font>
    <font>
      <sz val="20"/>
      <color rgb="FF0000FF"/>
      <name val="맑은 고딕"/>
      <family val="3"/>
      <charset val="129"/>
      <scheme val="minor"/>
    </font>
    <font>
      <sz val="22"/>
      <color theme="1"/>
      <name val="Microsoft YaHei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10" fillId="0" borderId="0" xfId="0" applyFont="1" applyBorder="1" applyAlignment="1">
      <alignment vertical="center" wrapText="1"/>
    </xf>
    <xf numFmtId="0" fontId="9" fillId="0" borderId="0" xfId="0" applyFont="1" applyBorder="1">
      <alignment vertical="center"/>
    </xf>
    <xf numFmtId="0" fontId="9" fillId="0" borderId="0" xfId="0" applyFont="1" applyBorder="1" applyAlignment="1">
      <alignment vertical="top"/>
    </xf>
    <xf numFmtId="0" fontId="11" fillId="0" borderId="0" xfId="0" applyFont="1" applyBorder="1" applyAlignment="1">
      <alignment vertical="top"/>
    </xf>
    <xf numFmtId="0" fontId="7" fillId="0" borderId="0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4" fillId="2" borderId="34" xfId="0" applyFont="1" applyFill="1" applyBorder="1" applyAlignment="1">
      <alignment horizontal="center" vertical="center"/>
    </xf>
    <xf numFmtId="0" fontId="4" fillId="2" borderId="35" xfId="0" applyFont="1" applyFill="1" applyBorder="1" applyAlignment="1">
      <alignment horizontal="center" vertical="center"/>
    </xf>
    <xf numFmtId="0" fontId="15" fillId="5" borderId="36" xfId="0" applyFont="1" applyFill="1" applyBorder="1" applyAlignment="1">
      <alignment horizontal="center" vertical="center"/>
    </xf>
    <xf numFmtId="0" fontId="15" fillId="5" borderId="37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0" fontId="15" fillId="5" borderId="38" xfId="0" applyFont="1" applyFill="1" applyBorder="1" applyAlignment="1">
      <alignment horizontal="center" vertical="center"/>
    </xf>
    <xf numFmtId="0" fontId="15" fillId="5" borderId="39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14" fillId="6" borderId="5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 wrapText="1"/>
    </xf>
    <xf numFmtId="0" fontId="14" fillId="6" borderId="7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9" fillId="4" borderId="12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Border="1">
      <alignment vertical="center"/>
    </xf>
    <xf numFmtId="0" fontId="5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17" fillId="0" borderId="9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18" fillId="0" borderId="0" xfId="0" applyFont="1">
      <alignment vertical="center"/>
    </xf>
    <xf numFmtId="0" fontId="7" fillId="0" borderId="0" xfId="0" applyFont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9" fillId="4" borderId="44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4" borderId="9" xfId="0" applyFont="1" applyFill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 wrapText="1"/>
    </xf>
    <xf numFmtId="0" fontId="20" fillId="0" borderId="40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/>
    </xf>
    <xf numFmtId="0" fontId="19" fillId="0" borderId="40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 wrapText="1"/>
    </xf>
    <xf numFmtId="0" fontId="19" fillId="0" borderId="13" xfId="0" applyFont="1" applyBorder="1" applyAlignment="1">
      <alignment horizontal="center" vertical="center" wrapText="1"/>
    </xf>
    <xf numFmtId="0" fontId="19" fillId="0" borderId="43" xfId="0" applyFont="1" applyBorder="1" applyAlignment="1">
      <alignment horizontal="center" vertical="center"/>
    </xf>
    <xf numFmtId="176" fontId="19" fillId="0" borderId="10" xfId="0" applyNumberFormat="1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readingOrder="1"/>
    </xf>
    <xf numFmtId="0" fontId="21" fillId="0" borderId="10" xfId="0" applyFont="1" applyBorder="1" applyAlignment="1">
      <alignment horizontal="center" vertical="center" wrapText="1" readingOrder="1"/>
    </xf>
    <xf numFmtId="0" fontId="20" fillId="0" borderId="10" xfId="0" applyFont="1" applyBorder="1" applyAlignment="1">
      <alignment horizontal="center" vertical="center" wrapText="1" readingOrder="1"/>
    </xf>
    <xf numFmtId="0" fontId="20" fillId="6" borderId="5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 wrapText="1"/>
    </xf>
    <xf numFmtId="0" fontId="20" fillId="6" borderId="7" xfId="0" applyFont="1" applyFill="1" applyBorder="1" applyAlignment="1">
      <alignment horizontal="center" vertical="center"/>
    </xf>
    <xf numFmtId="0" fontId="11" fillId="4" borderId="9" xfId="0" applyFont="1" applyFill="1" applyBorder="1" applyAlignment="1">
      <alignment horizontal="center" vertical="center"/>
    </xf>
    <xf numFmtId="0" fontId="11" fillId="4" borderId="12" xfId="0" applyFont="1" applyFill="1" applyBorder="1" applyAlignment="1">
      <alignment horizontal="center" vertical="center"/>
    </xf>
    <xf numFmtId="0" fontId="19" fillId="0" borderId="10" xfId="0" applyFont="1" applyBorder="1" applyAlignment="1">
      <alignment horizontal="center" vertical="center" wrapText="1" readingOrder="1"/>
    </xf>
    <xf numFmtId="0" fontId="10" fillId="0" borderId="13" xfId="0" applyFont="1" applyBorder="1" applyAlignment="1">
      <alignment horizontal="center" vertical="center" wrapText="1"/>
    </xf>
    <xf numFmtId="0" fontId="0" fillId="0" borderId="9" xfId="0" quotePrefix="1" applyFill="1" applyBorder="1" applyAlignment="1">
      <alignment horizontal="center" vertical="center"/>
    </xf>
    <xf numFmtId="0" fontId="17" fillId="0" borderId="9" xfId="0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 wrapText="1" readingOrder="1"/>
    </xf>
    <xf numFmtId="0" fontId="4" fillId="2" borderId="7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left" vertical="top" wrapText="1"/>
    </xf>
    <xf numFmtId="0" fontId="13" fillId="0" borderId="0" xfId="0" applyFont="1" applyBorder="1" applyAlignment="1">
      <alignment horizontal="left" vertical="top"/>
    </xf>
    <xf numFmtId="0" fontId="13" fillId="0" borderId="0" xfId="0" applyFont="1" applyBorder="1" applyAlignment="1">
      <alignment horizontal="center" vertical="top" wrapText="1"/>
    </xf>
    <xf numFmtId="0" fontId="25" fillId="0" borderId="9" xfId="0" applyFont="1" applyBorder="1" applyAlignment="1">
      <alignment horizontal="left" vertical="top" wrapText="1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25" fillId="0" borderId="9" xfId="0" applyFont="1" applyBorder="1" applyAlignment="1">
      <alignment horizontal="left" vertical="top"/>
    </xf>
    <xf numFmtId="0" fontId="13" fillId="0" borderId="9" xfId="0" applyFont="1" applyBorder="1" applyAlignment="1">
      <alignment horizontal="left" vertical="top" wrapText="1"/>
    </xf>
    <xf numFmtId="0" fontId="13" fillId="0" borderId="9" xfId="0" applyFont="1" applyBorder="1" applyAlignment="1">
      <alignment horizontal="left" vertical="top"/>
    </xf>
    <xf numFmtId="0" fontId="13" fillId="0" borderId="12" xfId="0" applyFont="1" applyBorder="1" applyAlignment="1">
      <alignment horizontal="left" vertical="top" wrapText="1"/>
    </xf>
    <xf numFmtId="0" fontId="13" fillId="0" borderId="9" xfId="0" quotePrefix="1" applyFont="1" applyBorder="1" applyAlignment="1">
      <alignment horizontal="left" vertical="top" wrapText="1"/>
    </xf>
    <xf numFmtId="0" fontId="13" fillId="0" borderId="45" xfId="0" applyFont="1" applyBorder="1" applyAlignment="1">
      <alignment horizontal="left" vertical="top" wrapText="1"/>
    </xf>
    <xf numFmtId="0" fontId="13" fillId="0" borderId="41" xfId="0" applyFont="1" applyBorder="1" applyAlignment="1">
      <alignment horizontal="left" vertical="top" wrapText="1"/>
    </xf>
    <xf numFmtId="0" fontId="13" fillId="0" borderId="42" xfId="0" applyFont="1" applyBorder="1" applyAlignment="1">
      <alignment horizontal="left" vertical="top" wrapText="1"/>
    </xf>
    <xf numFmtId="0" fontId="20" fillId="6" borderId="6" xfId="0" applyFont="1" applyFill="1" applyBorder="1" applyAlignment="1">
      <alignment horizontal="center" vertical="center"/>
    </xf>
    <xf numFmtId="0" fontId="13" fillId="0" borderId="41" xfId="0" applyFont="1" applyBorder="1" applyAlignment="1">
      <alignment horizontal="left" vertical="top"/>
    </xf>
    <xf numFmtId="0" fontId="13" fillId="0" borderId="42" xfId="0" applyFont="1" applyBorder="1" applyAlignment="1">
      <alignment horizontal="left" vertical="top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1</xdr:row>
          <xdr:rowOff>123825</xdr:rowOff>
        </xdr:from>
        <xdr:to>
          <xdr:col>8</xdr:col>
          <xdr:colOff>609600</xdr:colOff>
          <xdr:row>2</xdr:row>
          <xdr:rowOff>276225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시험지 작성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2337956</xdr:colOff>
      <xdr:row>14</xdr:row>
      <xdr:rowOff>618117</xdr:rowOff>
    </xdr:from>
    <xdr:to>
      <xdr:col>4</xdr:col>
      <xdr:colOff>842681</xdr:colOff>
      <xdr:row>14</xdr:row>
      <xdr:rowOff>2269587</xdr:rowOff>
    </xdr:to>
    <xdr:pic>
      <xdr:nvPicPr>
        <xdr:cNvPr id="257" name="그림 256">
          <a:extLst>
            <a:ext uri="{FF2B5EF4-FFF2-40B4-BE49-F238E27FC236}">
              <a16:creationId xmlns:a16="http://schemas.microsoft.com/office/drawing/2014/main" id="{9A28555E-9FC2-4A99-A755-3C59975E16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24206" y="16167680"/>
          <a:ext cx="1076475" cy="1651470"/>
        </a:xfrm>
        <a:prstGeom prst="rect">
          <a:avLst/>
        </a:prstGeom>
      </xdr:spPr>
    </xdr:pic>
    <xdr:clientData/>
  </xdr:twoCellAnchor>
  <xdr:twoCellAnchor editAs="absolute">
    <xdr:from>
      <xdr:col>5</xdr:col>
      <xdr:colOff>941677</xdr:colOff>
      <xdr:row>14</xdr:row>
      <xdr:rowOff>525463</xdr:rowOff>
    </xdr:from>
    <xdr:to>
      <xdr:col>5</xdr:col>
      <xdr:colOff>1790268</xdr:colOff>
      <xdr:row>14</xdr:row>
      <xdr:rowOff>2208791</xdr:rowOff>
    </xdr:to>
    <xdr:pic>
      <xdr:nvPicPr>
        <xdr:cNvPr id="258" name="그림 257">
          <a:extLst>
            <a:ext uri="{FF2B5EF4-FFF2-40B4-BE49-F238E27FC236}">
              <a16:creationId xmlns:a16="http://schemas.microsoft.com/office/drawing/2014/main" id="{44B2B12E-F125-4B44-9712-D5EA30DA9F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4924" r="18600" b="9705"/>
        <a:stretch/>
      </xdr:blipFill>
      <xdr:spPr>
        <a:xfrm>
          <a:off x="10371427" y="16165513"/>
          <a:ext cx="848591" cy="1683328"/>
        </a:xfrm>
        <a:prstGeom prst="rect">
          <a:avLst/>
        </a:prstGeom>
      </xdr:spPr>
    </xdr:pic>
    <xdr:clientData/>
  </xdr:twoCellAnchor>
  <xdr:twoCellAnchor editAs="absolute">
    <xdr:from>
      <xdr:col>6</xdr:col>
      <xdr:colOff>1630076</xdr:colOff>
      <xdr:row>14</xdr:row>
      <xdr:rowOff>620281</xdr:rowOff>
    </xdr:from>
    <xdr:to>
      <xdr:col>8</xdr:col>
      <xdr:colOff>500655</xdr:colOff>
      <xdr:row>14</xdr:row>
      <xdr:rowOff>2376536</xdr:rowOff>
    </xdr:to>
    <xdr:pic>
      <xdr:nvPicPr>
        <xdr:cNvPr id="259" name="그림 258">
          <a:extLst>
            <a:ext uri="{FF2B5EF4-FFF2-40B4-BE49-F238E27FC236}">
              <a16:creationId xmlns:a16="http://schemas.microsoft.com/office/drawing/2014/main" id="{784E61AC-D3CE-443F-BFFB-A6C9175982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631576" y="16169844"/>
          <a:ext cx="1132767" cy="1756255"/>
        </a:xfrm>
        <a:prstGeom prst="rect">
          <a:avLst/>
        </a:prstGeom>
      </xdr:spPr>
    </xdr:pic>
    <xdr:clientData/>
  </xdr:twoCellAnchor>
  <xdr:twoCellAnchor editAs="absolute">
    <xdr:from>
      <xdr:col>2</xdr:col>
      <xdr:colOff>928685</xdr:colOff>
      <xdr:row>23</xdr:row>
      <xdr:rowOff>682613</xdr:rowOff>
    </xdr:from>
    <xdr:to>
      <xdr:col>3</xdr:col>
      <xdr:colOff>733423</xdr:colOff>
      <xdr:row>23</xdr:row>
      <xdr:rowOff>2182813</xdr:rowOff>
    </xdr:to>
    <xdr:grpSp>
      <xdr:nvGrpSpPr>
        <xdr:cNvPr id="260" name="그룹 259">
          <a:extLst>
            <a:ext uri="{FF2B5EF4-FFF2-40B4-BE49-F238E27FC236}">
              <a16:creationId xmlns:a16="http://schemas.microsoft.com/office/drawing/2014/main" id="{5DE7A73F-288B-4436-913E-D18E1B4CE313}"/>
            </a:ext>
          </a:extLst>
        </xdr:cNvPr>
        <xdr:cNvGrpSpPr/>
      </xdr:nvGrpSpPr>
      <xdr:grpSpPr>
        <a:xfrm>
          <a:off x="2738435" y="39806551"/>
          <a:ext cx="2281238" cy="1500200"/>
          <a:chOff x="-1971675" y="7040103"/>
          <a:chExt cx="1550195" cy="487844"/>
        </a:xfrm>
      </xdr:grpSpPr>
      <xdr:sp macro="" textlink="">
        <xdr:nvSpPr>
          <xdr:cNvPr id="261" name="직사각형 260">
            <a:extLst>
              <a:ext uri="{FF2B5EF4-FFF2-40B4-BE49-F238E27FC236}">
                <a16:creationId xmlns:a16="http://schemas.microsoft.com/office/drawing/2014/main" id="{02C97825-FCE8-6299-4CA3-6CD3C150B426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62" name="직사각형 261">
            <a:extLst>
              <a:ext uri="{FF2B5EF4-FFF2-40B4-BE49-F238E27FC236}">
                <a16:creationId xmlns:a16="http://schemas.microsoft.com/office/drawing/2014/main" id="{E3EE247B-7353-69D4-D0E1-4D8914EBF178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63" name="직사각형 262">
            <a:extLst>
              <a:ext uri="{FF2B5EF4-FFF2-40B4-BE49-F238E27FC236}">
                <a16:creationId xmlns:a16="http://schemas.microsoft.com/office/drawing/2014/main" id="{83B2817C-DA9F-EFE7-24C0-9A8B3031409C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64" name="직사각형 263">
            <a:extLst>
              <a:ext uri="{FF2B5EF4-FFF2-40B4-BE49-F238E27FC236}">
                <a16:creationId xmlns:a16="http://schemas.microsoft.com/office/drawing/2014/main" id="{0C68EF6E-AC1C-BF38-EDC1-068FA9EA2511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65" name="직사각형 264">
            <a:extLst>
              <a:ext uri="{FF2B5EF4-FFF2-40B4-BE49-F238E27FC236}">
                <a16:creationId xmlns:a16="http://schemas.microsoft.com/office/drawing/2014/main" id="{26545841-11A4-145C-EFA2-48573BB526D5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266" name="직선 화살표 연결선 265">
            <a:extLst>
              <a:ext uri="{FF2B5EF4-FFF2-40B4-BE49-F238E27FC236}">
                <a16:creationId xmlns:a16="http://schemas.microsoft.com/office/drawing/2014/main" id="{9C67981F-7AB0-3538-B148-F96AAAF8BA8D}"/>
              </a:ext>
            </a:extLst>
          </xdr:cNvPr>
          <xdr:cNvCxnSpPr>
            <a:cxnSpLocks/>
          </xdr:cNvCxnSpPr>
        </xdr:nvCxnSpPr>
        <xdr:spPr>
          <a:xfrm flipH="1">
            <a:off x="-602455" y="711950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7" name="직선 화살표 연결선 266">
            <a:extLst>
              <a:ext uri="{FF2B5EF4-FFF2-40B4-BE49-F238E27FC236}">
                <a16:creationId xmlns:a16="http://schemas.microsoft.com/office/drawing/2014/main" id="{BA1F6C61-83F7-C393-431D-C40C8F986A27}"/>
              </a:ext>
            </a:extLst>
          </xdr:cNvPr>
          <xdr:cNvCxnSpPr>
            <a:cxnSpLocks/>
          </xdr:cNvCxnSpPr>
        </xdr:nvCxnSpPr>
        <xdr:spPr>
          <a:xfrm flipH="1">
            <a:off x="-602455" y="743995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3</xdr:col>
      <xdr:colOff>2119311</xdr:colOff>
      <xdr:row>23</xdr:row>
      <xdr:rowOff>763575</xdr:rowOff>
    </xdr:from>
    <xdr:to>
      <xdr:col>4</xdr:col>
      <xdr:colOff>1714500</xdr:colOff>
      <xdr:row>23</xdr:row>
      <xdr:rowOff>2335213</xdr:rowOff>
    </xdr:to>
    <xdr:grpSp>
      <xdr:nvGrpSpPr>
        <xdr:cNvPr id="268" name="그룹 267">
          <a:extLst>
            <a:ext uri="{FF2B5EF4-FFF2-40B4-BE49-F238E27FC236}">
              <a16:creationId xmlns:a16="http://schemas.microsoft.com/office/drawing/2014/main" id="{B260E46D-A67F-49A5-BA6E-E73194BA508B}"/>
            </a:ext>
          </a:extLst>
        </xdr:cNvPr>
        <xdr:cNvGrpSpPr/>
      </xdr:nvGrpSpPr>
      <xdr:grpSpPr>
        <a:xfrm>
          <a:off x="6405561" y="39887513"/>
          <a:ext cx="2166939" cy="1571638"/>
          <a:chOff x="-1971675" y="7040103"/>
          <a:chExt cx="1552202" cy="487844"/>
        </a:xfrm>
      </xdr:grpSpPr>
      <xdr:sp macro="" textlink="">
        <xdr:nvSpPr>
          <xdr:cNvPr id="269" name="직사각형 268">
            <a:extLst>
              <a:ext uri="{FF2B5EF4-FFF2-40B4-BE49-F238E27FC236}">
                <a16:creationId xmlns:a16="http://schemas.microsoft.com/office/drawing/2014/main" id="{D2CC5309-3476-CD66-1458-E1D60C8FAEE9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70" name="직사각형 269">
            <a:extLst>
              <a:ext uri="{FF2B5EF4-FFF2-40B4-BE49-F238E27FC236}">
                <a16:creationId xmlns:a16="http://schemas.microsoft.com/office/drawing/2014/main" id="{7D7077E4-657B-68C3-84DB-310881D07A9D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71" name="직사각형 270">
            <a:extLst>
              <a:ext uri="{FF2B5EF4-FFF2-40B4-BE49-F238E27FC236}">
                <a16:creationId xmlns:a16="http://schemas.microsoft.com/office/drawing/2014/main" id="{94FBC148-3870-28C5-A218-BBF181802C0A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72" name="직사각형 271">
            <a:extLst>
              <a:ext uri="{FF2B5EF4-FFF2-40B4-BE49-F238E27FC236}">
                <a16:creationId xmlns:a16="http://schemas.microsoft.com/office/drawing/2014/main" id="{F1AF26C0-ACFE-8884-8D7A-A18090700B94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73" name="직사각형 272">
            <a:extLst>
              <a:ext uri="{FF2B5EF4-FFF2-40B4-BE49-F238E27FC236}">
                <a16:creationId xmlns:a16="http://schemas.microsoft.com/office/drawing/2014/main" id="{28576219-1EDF-70E4-1328-5098DB9CC4E4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274" name="직선 화살표 연결선 273">
            <a:extLst>
              <a:ext uri="{FF2B5EF4-FFF2-40B4-BE49-F238E27FC236}">
                <a16:creationId xmlns:a16="http://schemas.microsoft.com/office/drawing/2014/main" id="{7226C627-69D9-F8B9-F916-F4A7B9B264AC}"/>
              </a:ext>
            </a:extLst>
          </xdr:cNvPr>
          <xdr:cNvCxnSpPr>
            <a:cxnSpLocks/>
          </xdr:cNvCxnSpPr>
        </xdr:nvCxnSpPr>
        <xdr:spPr>
          <a:xfrm flipH="1">
            <a:off x="-602455" y="722057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5" name="직선 화살표 연결선 274">
            <a:extLst>
              <a:ext uri="{FF2B5EF4-FFF2-40B4-BE49-F238E27FC236}">
                <a16:creationId xmlns:a16="http://schemas.microsoft.com/office/drawing/2014/main" id="{E95B2CDD-16CC-9EF5-F2CB-A38AD85CA0BF}"/>
              </a:ext>
            </a:extLst>
          </xdr:cNvPr>
          <xdr:cNvCxnSpPr>
            <a:cxnSpLocks/>
          </xdr:cNvCxnSpPr>
        </xdr:nvCxnSpPr>
        <xdr:spPr>
          <a:xfrm flipH="1">
            <a:off x="-600448" y="7333561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5</xdr:col>
      <xdr:colOff>666748</xdr:colOff>
      <xdr:row>23</xdr:row>
      <xdr:rowOff>563550</xdr:rowOff>
    </xdr:from>
    <xdr:to>
      <xdr:col>6</xdr:col>
      <xdr:colOff>452437</xdr:colOff>
      <xdr:row>23</xdr:row>
      <xdr:rowOff>2135189</xdr:rowOff>
    </xdr:to>
    <xdr:grpSp>
      <xdr:nvGrpSpPr>
        <xdr:cNvPr id="276" name="그룹 275">
          <a:extLst>
            <a:ext uri="{FF2B5EF4-FFF2-40B4-BE49-F238E27FC236}">
              <a16:creationId xmlns:a16="http://schemas.microsoft.com/office/drawing/2014/main" id="{FD2487F4-DF3A-4F03-8424-1C713F55823C}"/>
            </a:ext>
          </a:extLst>
        </xdr:cNvPr>
        <xdr:cNvGrpSpPr/>
      </xdr:nvGrpSpPr>
      <xdr:grpSpPr>
        <a:xfrm>
          <a:off x="10096498" y="39687488"/>
          <a:ext cx="2357439" cy="1571639"/>
          <a:chOff x="-1971675" y="7040103"/>
          <a:chExt cx="1550195" cy="487844"/>
        </a:xfrm>
      </xdr:grpSpPr>
      <xdr:sp macro="" textlink="">
        <xdr:nvSpPr>
          <xdr:cNvPr id="277" name="직사각형 276">
            <a:extLst>
              <a:ext uri="{FF2B5EF4-FFF2-40B4-BE49-F238E27FC236}">
                <a16:creationId xmlns:a16="http://schemas.microsoft.com/office/drawing/2014/main" id="{CBCFA1F0-9940-F872-5FE6-84C3DE8C4560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78" name="직사각형 277">
            <a:extLst>
              <a:ext uri="{FF2B5EF4-FFF2-40B4-BE49-F238E27FC236}">
                <a16:creationId xmlns:a16="http://schemas.microsoft.com/office/drawing/2014/main" id="{5D067912-575A-DFB3-829E-44CCD1517796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79" name="직사각형 278">
            <a:extLst>
              <a:ext uri="{FF2B5EF4-FFF2-40B4-BE49-F238E27FC236}">
                <a16:creationId xmlns:a16="http://schemas.microsoft.com/office/drawing/2014/main" id="{783323F6-799C-8616-B290-76CFBE29CF20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80" name="직사각형 279">
            <a:extLst>
              <a:ext uri="{FF2B5EF4-FFF2-40B4-BE49-F238E27FC236}">
                <a16:creationId xmlns:a16="http://schemas.microsoft.com/office/drawing/2014/main" id="{AD36771B-414C-567B-DAEA-B50C39D0BA94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81" name="직사각형 280">
            <a:extLst>
              <a:ext uri="{FF2B5EF4-FFF2-40B4-BE49-F238E27FC236}">
                <a16:creationId xmlns:a16="http://schemas.microsoft.com/office/drawing/2014/main" id="{1AB270F4-FA2D-8263-ADCB-57C50DF09C73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282" name="직선 화살표 연결선 281">
            <a:extLst>
              <a:ext uri="{FF2B5EF4-FFF2-40B4-BE49-F238E27FC236}">
                <a16:creationId xmlns:a16="http://schemas.microsoft.com/office/drawing/2014/main" id="{7E53BD3D-0E0E-D6F2-1FB9-57F726255326}"/>
              </a:ext>
            </a:extLst>
          </xdr:cNvPr>
          <xdr:cNvCxnSpPr>
            <a:cxnSpLocks/>
          </xdr:cNvCxnSpPr>
        </xdr:nvCxnSpPr>
        <xdr:spPr>
          <a:xfrm flipH="1">
            <a:off x="-602455" y="711950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3" name="직선 화살표 연결선 282">
            <a:extLst>
              <a:ext uri="{FF2B5EF4-FFF2-40B4-BE49-F238E27FC236}">
                <a16:creationId xmlns:a16="http://schemas.microsoft.com/office/drawing/2014/main" id="{F556FE17-D70C-1C04-94D4-171743E2A43B}"/>
              </a:ext>
            </a:extLst>
          </xdr:cNvPr>
          <xdr:cNvCxnSpPr>
            <a:cxnSpLocks/>
          </xdr:cNvCxnSpPr>
        </xdr:nvCxnSpPr>
        <xdr:spPr>
          <a:xfrm flipH="1">
            <a:off x="-602455" y="7333561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6</xdr:col>
      <xdr:colOff>1857372</xdr:colOff>
      <xdr:row>23</xdr:row>
      <xdr:rowOff>715950</xdr:rowOff>
    </xdr:from>
    <xdr:to>
      <xdr:col>9</xdr:col>
      <xdr:colOff>619123</xdr:colOff>
      <xdr:row>23</xdr:row>
      <xdr:rowOff>2287589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69829EFB-6D80-4AEE-9C10-E3F34CAB45B8}"/>
            </a:ext>
          </a:extLst>
        </xdr:cNvPr>
        <xdr:cNvGrpSpPr/>
      </xdr:nvGrpSpPr>
      <xdr:grpSpPr>
        <a:xfrm>
          <a:off x="13858872" y="39839888"/>
          <a:ext cx="2357439" cy="1571639"/>
          <a:chOff x="-1971675" y="7040103"/>
          <a:chExt cx="1550195" cy="487844"/>
        </a:xfrm>
      </xdr:grpSpPr>
      <xdr:sp macro="" textlink="">
        <xdr:nvSpPr>
          <xdr:cNvPr id="285" name="직사각형 284">
            <a:extLst>
              <a:ext uri="{FF2B5EF4-FFF2-40B4-BE49-F238E27FC236}">
                <a16:creationId xmlns:a16="http://schemas.microsoft.com/office/drawing/2014/main" id="{FF690114-8465-015B-F18B-8BE1EA2CCF9E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86" name="직사각형 285">
            <a:extLst>
              <a:ext uri="{FF2B5EF4-FFF2-40B4-BE49-F238E27FC236}">
                <a16:creationId xmlns:a16="http://schemas.microsoft.com/office/drawing/2014/main" id="{6D9A0D9E-AE5D-B8CE-2EF7-0641CA9D5936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87" name="직사각형 286">
            <a:extLst>
              <a:ext uri="{FF2B5EF4-FFF2-40B4-BE49-F238E27FC236}">
                <a16:creationId xmlns:a16="http://schemas.microsoft.com/office/drawing/2014/main" id="{60D389A8-1FD1-0A7B-A9C8-281C1FF12DA8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88" name="직사각형 287">
            <a:extLst>
              <a:ext uri="{FF2B5EF4-FFF2-40B4-BE49-F238E27FC236}">
                <a16:creationId xmlns:a16="http://schemas.microsoft.com/office/drawing/2014/main" id="{6FD7550E-ECBB-D956-957E-736ABEEAB78A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89" name="직사각형 288">
            <a:extLst>
              <a:ext uri="{FF2B5EF4-FFF2-40B4-BE49-F238E27FC236}">
                <a16:creationId xmlns:a16="http://schemas.microsoft.com/office/drawing/2014/main" id="{426D4948-0475-BA5A-95AB-A4212D015B39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59BFA5CD-92D2-A9C2-B392-F103A43A9271}"/>
              </a:ext>
            </a:extLst>
          </xdr:cNvPr>
          <xdr:cNvCxnSpPr>
            <a:cxnSpLocks/>
          </xdr:cNvCxnSpPr>
        </xdr:nvCxnSpPr>
        <xdr:spPr>
          <a:xfrm flipH="1">
            <a:off x="-602455" y="723173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직선 화살표 연결선 290">
            <a:extLst>
              <a:ext uri="{FF2B5EF4-FFF2-40B4-BE49-F238E27FC236}">
                <a16:creationId xmlns:a16="http://schemas.microsoft.com/office/drawing/2014/main" id="{D915D096-7D91-C630-3265-80C090306146}"/>
              </a:ext>
            </a:extLst>
          </xdr:cNvPr>
          <xdr:cNvCxnSpPr>
            <a:cxnSpLocks/>
          </xdr:cNvCxnSpPr>
        </xdr:nvCxnSpPr>
        <xdr:spPr>
          <a:xfrm flipH="1">
            <a:off x="-602455" y="743995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2</xdr:col>
      <xdr:colOff>1095375</xdr:colOff>
      <xdr:row>14</xdr:row>
      <xdr:rowOff>555768</xdr:rowOff>
    </xdr:from>
    <xdr:to>
      <xdr:col>2</xdr:col>
      <xdr:colOff>1939204</xdr:colOff>
      <xdr:row>14</xdr:row>
      <xdr:rowOff>2137784</xdr:rowOff>
    </xdr:to>
    <xdr:pic>
      <xdr:nvPicPr>
        <xdr:cNvPr id="256" name="그림 255">
          <a:extLst>
            <a:ext uri="{FF2B5EF4-FFF2-40B4-BE49-F238E27FC236}">
              <a16:creationId xmlns:a16="http://schemas.microsoft.com/office/drawing/2014/main" id="{8F44640D-B299-4EE3-A817-E47EDA7003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10604" r="15164" b="7596"/>
        <a:stretch/>
      </xdr:blipFill>
      <xdr:spPr>
        <a:xfrm>
          <a:off x="2905125" y="16195818"/>
          <a:ext cx="843829" cy="158201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928688</xdr:colOff>
      <xdr:row>23</xdr:row>
      <xdr:rowOff>887552</xdr:rowOff>
    </xdr:from>
    <xdr:to>
      <xdr:col>5</xdr:col>
      <xdr:colOff>1777279</xdr:colOff>
      <xdr:row>23</xdr:row>
      <xdr:rowOff>2469568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42DC50F-F93B-4F12-89DD-E7084E057B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0604" r="15164" b="7596"/>
        <a:stretch/>
      </xdr:blipFill>
      <xdr:spPr>
        <a:xfrm>
          <a:off x="7691438" y="50465177"/>
          <a:ext cx="848591" cy="1582016"/>
        </a:xfrm>
        <a:prstGeom prst="rect">
          <a:avLst/>
        </a:prstGeom>
      </xdr:spPr>
    </xdr:pic>
    <xdr:clientData/>
  </xdr:twoCellAnchor>
  <xdr:twoCellAnchor editAs="oneCell">
    <xdr:from>
      <xdr:col>6</xdr:col>
      <xdr:colOff>1814081</xdr:colOff>
      <xdr:row>23</xdr:row>
      <xdr:rowOff>930848</xdr:rowOff>
    </xdr:from>
    <xdr:to>
      <xdr:col>7</xdr:col>
      <xdr:colOff>318806</xdr:colOff>
      <xdr:row>23</xdr:row>
      <xdr:rowOff>2582318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5F4D38FE-02B2-4302-ACB1-2D8ECBD70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3331" y="50508473"/>
          <a:ext cx="1076475" cy="1651470"/>
        </a:xfrm>
        <a:prstGeom prst="rect">
          <a:avLst/>
        </a:prstGeom>
      </xdr:spPr>
    </xdr:pic>
    <xdr:clientData/>
  </xdr:twoCellAnchor>
  <xdr:twoCellAnchor editAs="oneCell">
    <xdr:from>
      <xdr:col>8</xdr:col>
      <xdr:colOff>84428</xdr:colOff>
      <xdr:row>23</xdr:row>
      <xdr:rowOff>857244</xdr:rowOff>
    </xdr:from>
    <xdr:to>
      <xdr:col>8</xdr:col>
      <xdr:colOff>933019</xdr:colOff>
      <xdr:row>23</xdr:row>
      <xdr:rowOff>2540572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4F88574B-BC51-4DE9-9ED5-8088B1058D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4924" r="18600" b="9705"/>
        <a:stretch/>
      </xdr:blipFill>
      <xdr:spPr>
        <a:xfrm>
          <a:off x="14467178" y="50434869"/>
          <a:ext cx="848591" cy="1683328"/>
        </a:xfrm>
        <a:prstGeom prst="rect">
          <a:avLst/>
        </a:prstGeom>
      </xdr:spPr>
    </xdr:pic>
    <xdr:clientData/>
  </xdr:twoCellAnchor>
  <xdr:twoCellAnchor editAs="oneCell">
    <xdr:from>
      <xdr:col>9</xdr:col>
      <xdr:colOff>749015</xdr:colOff>
      <xdr:row>23</xdr:row>
      <xdr:rowOff>861575</xdr:rowOff>
    </xdr:from>
    <xdr:to>
      <xdr:col>9</xdr:col>
      <xdr:colOff>1881782</xdr:colOff>
      <xdr:row>23</xdr:row>
      <xdr:rowOff>2617830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35B7BC14-74CF-4C32-82CA-B70BB2325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703515" y="50439200"/>
          <a:ext cx="1132767" cy="1756255"/>
        </a:xfrm>
        <a:prstGeom prst="rect">
          <a:avLst/>
        </a:prstGeom>
      </xdr:spPr>
    </xdr:pic>
    <xdr:clientData/>
  </xdr:twoCellAnchor>
  <xdr:twoCellAnchor>
    <xdr:from>
      <xdr:col>5</xdr:col>
      <xdr:colOff>571500</xdr:colOff>
      <xdr:row>24</xdr:row>
      <xdr:rowOff>1095354</xdr:rowOff>
    </xdr:from>
    <xdr:to>
      <xdr:col>6</xdr:col>
      <xdr:colOff>381001</xdr:colOff>
      <xdr:row>24</xdr:row>
      <xdr:rowOff>2595554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1EC5DF6D-0333-4D33-BBB0-4E8062E14E54}"/>
            </a:ext>
          </a:extLst>
        </xdr:cNvPr>
        <xdr:cNvGrpSpPr/>
      </xdr:nvGrpSpPr>
      <xdr:grpSpPr>
        <a:xfrm>
          <a:off x="7334250" y="55149729"/>
          <a:ext cx="2286001" cy="1500200"/>
          <a:chOff x="-1971675" y="7040103"/>
          <a:chExt cx="1550195" cy="487844"/>
        </a:xfrm>
      </xdr:grpSpPr>
      <xdr:sp macro="" textlink="">
        <xdr:nvSpPr>
          <xdr:cNvPr id="7" name="직사각형 6">
            <a:extLst>
              <a:ext uri="{FF2B5EF4-FFF2-40B4-BE49-F238E27FC236}">
                <a16:creationId xmlns:a16="http://schemas.microsoft.com/office/drawing/2014/main" id="{D513E9F5-F01D-631D-4CA1-B5AC88E2B31D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8" name="직사각형 7">
            <a:extLst>
              <a:ext uri="{FF2B5EF4-FFF2-40B4-BE49-F238E27FC236}">
                <a16:creationId xmlns:a16="http://schemas.microsoft.com/office/drawing/2014/main" id="{49DB15AF-E773-1B0A-BF34-8FB43E047AD5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9" name="직사각형 8">
            <a:extLst>
              <a:ext uri="{FF2B5EF4-FFF2-40B4-BE49-F238E27FC236}">
                <a16:creationId xmlns:a16="http://schemas.microsoft.com/office/drawing/2014/main" id="{0DC7DF9E-7698-ED6F-2D69-77239AD1D500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10" name="직사각형 9">
            <a:extLst>
              <a:ext uri="{FF2B5EF4-FFF2-40B4-BE49-F238E27FC236}">
                <a16:creationId xmlns:a16="http://schemas.microsoft.com/office/drawing/2014/main" id="{3B9C4C26-C0EF-2430-86EA-1717777B3B72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11" name="직사각형 10">
            <a:extLst>
              <a:ext uri="{FF2B5EF4-FFF2-40B4-BE49-F238E27FC236}">
                <a16:creationId xmlns:a16="http://schemas.microsoft.com/office/drawing/2014/main" id="{B3929B1F-3638-064F-6211-6E6ACE32E2E3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12" name="직선 화살표 연결선 11">
            <a:extLst>
              <a:ext uri="{FF2B5EF4-FFF2-40B4-BE49-F238E27FC236}">
                <a16:creationId xmlns:a16="http://schemas.microsoft.com/office/drawing/2014/main" id="{4C101F36-687E-9794-9E6A-8622BC1C145D}"/>
              </a:ext>
            </a:extLst>
          </xdr:cNvPr>
          <xdr:cNvCxnSpPr>
            <a:cxnSpLocks/>
          </xdr:cNvCxnSpPr>
        </xdr:nvCxnSpPr>
        <xdr:spPr>
          <a:xfrm flipH="1">
            <a:off x="-602455" y="711950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직선 화살표 연결선 12">
            <a:extLst>
              <a:ext uri="{FF2B5EF4-FFF2-40B4-BE49-F238E27FC236}">
                <a16:creationId xmlns:a16="http://schemas.microsoft.com/office/drawing/2014/main" id="{2A927CA0-45A7-0738-AC60-A70D8975269E}"/>
              </a:ext>
            </a:extLst>
          </xdr:cNvPr>
          <xdr:cNvCxnSpPr>
            <a:cxnSpLocks/>
          </xdr:cNvCxnSpPr>
        </xdr:nvCxnSpPr>
        <xdr:spPr>
          <a:xfrm flipH="1">
            <a:off x="-602455" y="743995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1619249</xdr:colOff>
      <xdr:row>24</xdr:row>
      <xdr:rowOff>1047728</xdr:rowOff>
    </xdr:from>
    <xdr:to>
      <xdr:col>7</xdr:col>
      <xdr:colOff>1214438</xdr:colOff>
      <xdr:row>24</xdr:row>
      <xdr:rowOff>2619366</xdr:rowOff>
    </xdr:to>
    <xdr:grpSp>
      <xdr:nvGrpSpPr>
        <xdr:cNvPr id="14" name="그룹 13">
          <a:extLst>
            <a:ext uri="{FF2B5EF4-FFF2-40B4-BE49-F238E27FC236}">
              <a16:creationId xmlns:a16="http://schemas.microsoft.com/office/drawing/2014/main" id="{382F0B35-E1B6-40D9-B087-4BA5F450277D}"/>
            </a:ext>
          </a:extLst>
        </xdr:cNvPr>
        <xdr:cNvGrpSpPr/>
      </xdr:nvGrpSpPr>
      <xdr:grpSpPr>
        <a:xfrm>
          <a:off x="10858499" y="55102103"/>
          <a:ext cx="2166939" cy="1571638"/>
          <a:chOff x="-1971675" y="7040103"/>
          <a:chExt cx="1552202" cy="487844"/>
        </a:xfrm>
      </xdr:grpSpPr>
      <xdr:sp macro="" textlink="">
        <xdr:nvSpPr>
          <xdr:cNvPr id="15" name="직사각형 14">
            <a:extLst>
              <a:ext uri="{FF2B5EF4-FFF2-40B4-BE49-F238E27FC236}">
                <a16:creationId xmlns:a16="http://schemas.microsoft.com/office/drawing/2014/main" id="{A389686B-3466-15DE-13DC-B48E8049401B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16" name="직사각형 15">
            <a:extLst>
              <a:ext uri="{FF2B5EF4-FFF2-40B4-BE49-F238E27FC236}">
                <a16:creationId xmlns:a16="http://schemas.microsoft.com/office/drawing/2014/main" id="{42CA5008-75A0-205A-CE56-BE024FE3EAD0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17" name="직사각형 16">
            <a:extLst>
              <a:ext uri="{FF2B5EF4-FFF2-40B4-BE49-F238E27FC236}">
                <a16:creationId xmlns:a16="http://schemas.microsoft.com/office/drawing/2014/main" id="{048FBDC2-C39A-049F-8CB7-58608D8049BE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18" name="직사각형 17">
            <a:extLst>
              <a:ext uri="{FF2B5EF4-FFF2-40B4-BE49-F238E27FC236}">
                <a16:creationId xmlns:a16="http://schemas.microsoft.com/office/drawing/2014/main" id="{96F84CD1-B533-23AF-93C1-8A98F7BEB122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19" name="직사각형 18">
            <a:extLst>
              <a:ext uri="{FF2B5EF4-FFF2-40B4-BE49-F238E27FC236}">
                <a16:creationId xmlns:a16="http://schemas.microsoft.com/office/drawing/2014/main" id="{41308E23-4C5C-7027-545C-81085945F009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20" name="직선 화살표 연결선 19">
            <a:extLst>
              <a:ext uri="{FF2B5EF4-FFF2-40B4-BE49-F238E27FC236}">
                <a16:creationId xmlns:a16="http://schemas.microsoft.com/office/drawing/2014/main" id="{E3503A86-5C8C-4FA2-9ED2-E8A84C0CCF50}"/>
              </a:ext>
            </a:extLst>
          </xdr:cNvPr>
          <xdr:cNvCxnSpPr>
            <a:cxnSpLocks/>
          </xdr:cNvCxnSpPr>
        </xdr:nvCxnSpPr>
        <xdr:spPr>
          <a:xfrm flipH="1">
            <a:off x="-602455" y="722057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직선 화살표 연결선 20">
            <a:extLst>
              <a:ext uri="{FF2B5EF4-FFF2-40B4-BE49-F238E27FC236}">
                <a16:creationId xmlns:a16="http://schemas.microsoft.com/office/drawing/2014/main" id="{DB6E0CF7-79D7-70E6-076C-4E32AC9FB0D1}"/>
              </a:ext>
            </a:extLst>
          </xdr:cNvPr>
          <xdr:cNvCxnSpPr>
            <a:cxnSpLocks/>
          </xdr:cNvCxnSpPr>
        </xdr:nvCxnSpPr>
        <xdr:spPr>
          <a:xfrm flipH="1">
            <a:off x="-600448" y="7333561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2333624</xdr:colOff>
      <xdr:row>24</xdr:row>
      <xdr:rowOff>1071539</xdr:rowOff>
    </xdr:from>
    <xdr:to>
      <xdr:col>8</xdr:col>
      <xdr:colOff>2119313</xdr:colOff>
      <xdr:row>24</xdr:row>
      <xdr:rowOff>2643178</xdr:rowOff>
    </xdr:to>
    <xdr:grpSp>
      <xdr:nvGrpSpPr>
        <xdr:cNvPr id="22" name="그룹 21">
          <a:extLst>
            <a:ext uri="{FF2B5EF4-FFF2-40B4-BE49-F238E27FC236}">
              <a16:creationId xmlns:a16="http://schemas.microsoft.com/office/drawing/2014/main" id="{724A521B-E7CC-48A6-8624-A1C62484E480}"/>
            </a:ext>
          </a:extLst>
        </xdr:cNvPr>
        <xdr:cNvGrpSpPr/>
      </xdr:nvGrpSpPr>
      <xdr:grpSpPr>
        <a:xfrm>
          <a:off x="14144624" y="55125914"/>
          <a:ext cx="2357439" cy="1571639"/>
          <a:chOff x="-1971675" y="7040103"/>
          <a:chExt cx="1550195" cy="487844"/>
        </a:xfrm>
      </xdr:grpSpPr>
      <xdr:sp macro="" textlink="">
        <xdr:nvSpPr>
          <xdr:cNvPr id="23" name="직사각형 22">
            <a:extLst>
              <a:ext uri="{FF2B5EF4-FFF2-40B4-BE49-F238E27FC236}">
                <a16:creationId xmlns:a16="http://schemas.microsoft.com/office/drawing/2014/main" id="{0F5CE407-ED55-B37C-4322-94A7B6442A93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4" name="직사각형 23">
            <a:extLst>
              <a:ext uri="{FF2B5EF4-FFF2-40B4-BE49-F238E27FC236}">
                <a16:creationId xmlns:a16="http://schemas.microsoft.com/office/drawing/2014/main" id="{2BDE8116-42E5-0AB8-4894-14B548DE1DF6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5" name="직사각형 24">
            <a:extLst>
              <a:ext uri="{FF2B5EF4-FFF2-40B4-BE49-F238E27FC236}">
                <a16:creationId xmlns:a16="http://schemas.microsoft.com/office/drawing/2014/main" id="{0CBD66A2-9F50-5BC5-C98A-6FB569FAE8DB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6" name="직사각형 25">
            <a:extLst>
              <a:ext uri="{FF2B5EF4-FFF2-40B4-BE49-F238E27FC236}">
                <a16:creationId xmlns:a16="http://schemas.microsoft.com/office/drawing/2014/main" id="{C4AADC4B-BD2D-8B72-9794-5A0B268BD8D3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27" name="직사각형 26">
            <a:extLst>
              <a:ext uri="{FF2B5EF4-FFF2-40B4-BE49-F238E27FC236}">
                <a16:creationId xmlns:a16="http://schemas.microsoft.com/office/drawing/2014/main" id="{B6043CD5-2D78-23E3-7B5D-F18587F965CC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28" name="직선 화살표 연결선 27">
            <a:extLst>
              <a:ext uri="{FF2B5EF4-FFF2-40B4-BE49-F238E27FC236}">
                <a16:creationId xmlns:a16="http://schemas.microsoft.com/office/drawing/2014/main" id="{5E8C2957-40DE-2196-272F-603795371B00}"/>
              </a:ext>
            </a:extLst>
          </xdr:cNvPr>
          <xdr:cNvCxnSpPr>
            <a:cxnSpLocks/>
          </xdr:cNvCxnSpPr>
        </xdr:nvCxnSpPr>
        <xdr:spPr>
          <a:xfrm flipH="1">
            <a:off x="-602455" y="711950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직선 화살표 연결선 28">
            <a:extLst>
              <a:ext uri="{FF2B5EF4-FFF2-40B4-BE49-F238E27FC236}">
                <a16:creationId xmlns:a16="http://schemas.microsoft.com/office/drawing/2014/main" id="{4EABDFD7-AE4C-A937-C8CA-A34D80304044}"/>
              </a:ext>
            </a:extLst>
          </xdr:cNvPr>
          <xdr:cNvCxnSpPr>
            <a:cxnSpLocks/>
          </xdr:cNvCxnSpPr>
        </xdr:nvCxnSpPr>
        <xdr:spPr>
          <a:xfrm flipH="1">
            <a:off x="-602455" y="7333561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500060</xdr:colOff>
      <xdr:row>24</xdr:row>
      <xdr:rowOff>1047727</xdr:rowOff>
    </xdr:from>
    <xdr:to>
      <xdr:col>11</xdr:col>
      <xdr:colOff>595311</xdr:colOff>
      <xdr:row>24</xdr:row>
      <xdr:rowOff>2619366</xdr:rowOff>
    </xdr:to>
    <xdr:grpSp>
      <xdr:nvGrpSpPr>
        <xdr:cNvPr id="30" name="그룹 29">
          <a:extLst>
            <a:ext uri="{FF2B5EF4-FFF2-40B4-BE49-F238E27FC236}">
              <a16:creationId xmlns:a16="http://schemas.microsoft.com/office/drawing/2014/main" id="{08814A18-597C-41DF-B259-08F593A314C1}"/>
            </a:ext>
          </a:extLst>
        </xdr:cNvPr>
        <xdr:cNvGrpSpPr/>
      </xdr:nvGrpSpPr>
      <xdr:grpSpPr>
        <a:xfrm>
          <a:off x="17454560" y="55102102"/>
          <a:ext cx="2357439" cy="1571639"/>
          <a:chOff x="-1971675" y="7040103"/>
          <a:chExt cx="1550195" cy="487844"/>
        </a:xfrm>
      </xdr:grpSpPr>
      <xdr:sp macro="" textlink="">
        <xdr:nvSpPr>
          <xdr:cNvPr id="31" name="직사각형 30">
            <a:extLst>
              <a:ext uri="{FF2B5EF4-FFF2-40B4-BE49-F238E27FC236}">
                <a16:creationId xmlns:a16="http://schemas.microsoft.com/office/drawing/2014/main" id="{C2593ECD-E163-901B-E89C-AB0AB925A1F8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32" name="직사각형 31">
            <a:extLst>
              <a:ext uri="{FF2B5EF4-FFF2-40B4-BE49-F238E27FC236}">
                <a16:creationId xmlns:a16="http://schemas.microsoft.com/office/drawing/2014/main" id="{2AFD80BE-2792-FAEA-1DC0-F0C35649FB9D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33" name="직사각형 32">
            <a:extLst>
              <a:ext uri="{FF2B5EF4-FFF2-40B4-BE49-F238E27FC236}">
                <a16:creationId xmlns:a16="http://schemas.microsoft.com/office/drawing/2014/main" id="{13892468-C92F-BB14-05B9-265E1D23EDA3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34" name="직사각형 33">
            <a:extLst>
              <a:ext uri="{FF2B5EF4-FFF2-40B4-BE49-F238E27FC236}">
                <a16:creationId xmlns:a16="http://schemas.microsoft.com/office/drawing/2014/main" id="{3A421FE6-6087-27F3-8BDA-4BE653834395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35" name="직사각형 34">
            <a:extLst>
              <a:ext uri="{FF2B5EF4-FFF2-40B4-BE49-F238E27FC236}">
                <a16:creationId xmlns:a16="http://schemas.microsoft.com/office/drawing/2014/main" id="{F7C3EDD9-C35E-1E6A-9F05-882099B13FF4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36" name="직선 화살표 연결선 35">
            <a:extLst>
              <a:ext uri="{FF2B5EF4-FFF2-40B4-BE49-F238E27FC236}">
                <a16:creationId xmlns:a16="http://schemas.microsoft.com/office/drawing/2014/main" id="{8B7975A5-BEB9-3F67-DB59-F5EA288E236D}"/>
              </a:ext>
            </a:extLst>
          </xdr:cNvPr>
          <xdr:cNvCxnSpPr>
            <a:cxnSpLocks/>
          </xdr:cNvCxnSpPr>
        </xdr:nvCxnSpPr>
        <xdr:spPr>
          <a:xfrm flipH="1">
            <a:off x="-602455" y="723173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직선 화살표 연결선 36">
            <a:extLst>
              <a:ext uri="{FF2B5EF4-FFF2-40B4-BE49-F238E27FC236}">
                <a16:creationId xmlns:a16="http://schemas.microsoft.com/office/drawing/2014/main" id="{4A118EF5-B2F0-25B4-0031-50A4209405F5}"/>
              </a:ext>
            </a:extLst>
          </xdr:cNvPr>
          <xdr:cNvCxnSpPr>
            <a:cxnSpLocks/>
          </xdr:cNvCxnSpPr>
        </xdr:nvCxnSpPr>
        <xdr:spPr>
          <a:xfrm flipH="1">
            <a:off x="-602455" y="743995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571500</xdr:colOff>
      <xdr:row>22</xdr:row>
      <xdr:rowOff>666738</xdr:rowOff>
    </xdr:from>
    <xdr:to>
      <xdr:col>6</xdr:col>
      <xdr:colOff>381001</xdr:colOff>
      <xdr:row>22</xdr:row>
      <xdr:rowOff>2166938</xdr:rowOff>
    </xdr:to>
    <xdr:grpSp>
      <xdr:nvGrpSpPr>
        <xdr:cNvPr id="70" name="그룹 69">
          <a:extLst>
            <a:ext uri="{FF2B5EF4-FFF2-40B4-BE49-F238E27FC236}">
              <a16:creationId xmlns:a16="http://schemas.microsoft.com/office/drawing/2014/main" id="{D5C249C7-5D82-479B-BC1D-AF1251CFB07B}"/>
            </a:ext>
          </a:extLst>
        </xdr:cNvPr>
        <xdr:cNvGrpSpPr/>
      </xdr:nvGrpSpPr>
      <xdr:grpSpPr>
        <a:xfrm>
          <a:off x="7334250" y="48529863"/>
          <a:ext cx="2286001" cy="1500200"/>
          <a:chOff x="-1971675" y="7040103"/>
          <a:chExt cx="1550195" cy="487844"/>
        </a:xfrm>
      </xdr:grpSpPr>
      <xdr:sp macro="" textlink="">
        <xdr:nvSpPr>
          <xdr:cNvPr id="71" name="직사각형 70">
            <a:extLst>
              <a:ext uri="{FF2B5EF4-FFF2-40B4-BE49-F238E27FC236}">
                <a16:creationId xmlns:a16="http://schemas.microsoft.com/office/drawing/2014/main" id="{9DB60A40-88C3-96AD-50E2-E9C00996A3CB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72" name="직사각형 71">
            <a:extLst>
              <a:ext uri="{FF2B5EF4-FFF2-40B4-BE49-F238E27FC236}">
                <a16:creationId xmlns:a16="http://schemas.microsoft.com/office/drawing/2014/main" id="{B78BAD5B-958F-9C3E-9636-1DD3DFBA39D5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73" name="직사각형 72">
            <a:extLst>
              <a:ext uri="{FF2B5EF4-FFF2-40B4-BE49-F238E27FC236}">
                <a16:creationId xmlns:a16="http://schemas.microsoft.com/office/drawing/2014/main" id="{CA39759D-4C03-E8F0-09FB-36CE370984F3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74" name="직사각형 73">
            <a:extLst>
              <a:ext uri="{FF2B5EF4-FFF2-40B4-BE49-F238E27FC236}">
                <a16:creationId xmlns:a16="http://schemas.microsoft.com/office/drawing/2014/main" id="{95F0E999-EA79-F23C-22EB-CB3720E08F17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75" name="직사각형 74">
            <a:extLst>
              <a:ext uri="{FF2B5EF4-FFF2-40B4-BE49-F238E27FC236}">
                <a16:creationId xmlns:a16="http://schemas.microsoft.com/office/drawing/2014/main" id="{2BD6F930-1653-84A2-C953-041740C2B401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76" name="직선 화살표 연결선 75">
            <a:extLst>
              <a:ext uri="{FF2B5EF4-FFF2-40B4-BE49-F238E27FC236}">
                <a16:creationId xmlns:a16="http://schemas.microsoft.com/office/drawing/2014/main" id="{5EBF9ACD-3F2E-720F-DC68-D116AEDB4ED1}"/>
              </a:ext>
            </a:extLst>
          </xdr:cNvPr>
          <xdr:cNvCxnSpPr>
            <a:cxnSpLocks/>
          </xdr:cNvCxnSpPr>
        </xdr:nvCxnSpPr>
        <xdr:spPr>
          <a:xfrm flipH="1">
            <a:off x="-602455" y="711950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" name="직선 화살표 연결선 76">
            <a:extLst>
              <a:ext uri="{FF2B5EF4-FFF2-40B4-BE49-F238E27FC236}">
                <a16:creationId xmlns:a16="http://schemas.microsoft.com/office/drawing/2014/main" id="{13C80307-E9B5-6B8E-DF9F-2BAF2C54DBB0}"/>
              </a:ext>
            </a:extLst>
          </xdr:cNvPr>
          <xdr:cNvCxnSpPr>
            <a:cxnSpLocks/>
          </xdr:cNvCxnSpPr>
        </xdr:nvCxnSpPr>
        <xdr:spPr>
          <a:xfrm flipH="1">
            <a:off x="-602455" y="743995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1619249</xdr:colOff>
      <xdr:row>22</xdr:row>
      <xdr:rowOff>642925</xdr:rowOff>
    </xdr:from>
    <xdr:to>
      <xdr:col>7</xdr:col>
      <xdr:colOff>1214438</xdr:colOff>
      <xdr:row>22</xdr:row>
      <xdr:rowOff>2214563</xdr:rowOff>
    </xdr:to>
    <xdr:grpSp>
      <xdr:nvGrpSpPr>
        <xdr:cNvPr id="78" name="그룹 77">
          <a:extLst>
            <a:ext uri="{FF2B5EF4-FFF2-40B4-BE49-F238E27FC236}">
              <a16:creationId xmlns:a16="http://schemas.microsoft.com/office/drawing/2014/main" id="{D495BC80-992B-413D-AA9F-711CABC408C8}"/>
            </a:ext>
          </a:extLst>
        </xdr:cNvPr>
        <xdr:cNvGrpSpPr/>
      </xdr:nvGrpSpPr>
      <xdr:grpSpPr>
        <a:xfrm>
          <a:off x="10858499" y="48506050"/>
          <a:ext cx="2166939" cy="1571638"/>
          <a:chOff x="-1971675" y="7040103"/>
          <a:chExt cx="1552202" cy="487844"/>
        </a:xfrm>
      </xdr:grpSpPr>
      <xdr:sp macro="" textlink="">
        <xdr:nvSpPr>
          <xdr:cNvPr id="79" name="직사각형 78">
            <a:extLst>
              <a:ext uri="{FF2B5EF4-FFF2-40B4-BE49-F238E27FC236}">
                <a16:creationId xmlns:a16="http://schemas.microsoft.com/office/drawing/2014/main" id="{2DCB0C60-7649-14AB-A935-AE7158E2BCF7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80" name="직사각형 79">
            <a:extLst>
              <a:ext uri="{FF2B5EF4-FFF2-40B4-BE49-F238E27FC236}">
                <a16:creationId xmlns:a16="http://schemas.microsoft.com/office/drawing/2014/main" id="{B9C5C315-16A6-C0A9-0685-CC327C6728CA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81" name="직사각형 80">
            <a:extLst>
              <a:ext uri="{FF2B5EF4-FFF2-40B4-BE49-F238E27FC236}">
                <a16:creationId xmlns:a16="http://schemas.microsoft.com/office/drawing/2014/main" id="{66CFB0BF-B57D-58D4-AF9E-2B639E69B871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82" name="직사각형 81">
            <a:extLst>
              <a:ext uri="{FF2B5EF4-FFF2-40B4-BE49-F238E27FC236}">
                <a16:creationId xmlns:a16="http://schemas.microsoft.com/office/drawing/2014/main" id="{EDA9F0A6-E938-83B5-044D-953D13ED4716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83" name="직사각형 82">
            <a:extLst>
              <a:ext uri="{FF2B5EF4-FFF2-40B4-BE49-F238E27FC236}">
                <a16:creationId xmlns:a16="http://schemas.microsoft.com/office/drawing/2014/main" id="{4DA90353-971D-89AF-BDF3-902926ABA578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84" name="직선 화살표 연결선 83">
            <a:extLst>
              <a:ext uri="{FF2B5EF4-FFF2-40B4-BE49-F238E27FC236}">
                <a16:creationId xmlns:a16="http://schemas.microsoft.com/office/drawing/2014/main" id="{5AEA0212-1579-7379-707E-DEE8891398DF}"/>
              </a:ext>
            </a:extLst>
          </xdr:cNvPr>
          <xdr:cNvCxnSpPr>
            <a:cxnSpLocks/>
          </xdr:cNvCxnSpPr>
        </xdr:nvCxnSpPr>
        <xdr:spPr>
          <a:xfrm flipH="1">
            <a:off x="-602455" y="722057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" name="직선 화살표 연결선 84">
            <a:extLst>
              <a:ext uri="{FF2B5EF4-FFF2-40B4-BE49-F238E27FC236}">
                <a16:creationId xmlns:a16="http://schemas.microsoft.com/office/drawing/2014/main" id="{59EEFD87-BCD9-DCB1-3AE1-0FB0CBA072B5}"/>
              </a:ext>
            </a:extLst>
          </xdr:cNvPr>
          <xdr:cNvCxnSpPr>
            <a:cxnSpLocks/>
          </xdr:cNvCxnSpPr>
        </xdr:nvCxnSpPr>
        <xdr:spPr>
          <a:xfrm flipH="1">
            <a:off x="-600448" y="7333561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2333624</xdr:colOff>
      <xdr:row>22</xdr:row>
      <xdr:rowOff>666736</xdr:rowOff>
    </xdr:from>
    <xdr:to>
      <xdr:col>8</xdr:col>
      <xdr:colOff>2119313</xdr:colOff>
      <xdr:row>22</xdr:row>
      <xdr:rowOff>2238375</xdr:rowOff>
    </xdr:to>
    <xdr:grpSp>
      <xdr:nvGrpSpPr>
        <xdr:cNvPr id="86" name="그룹 85">
          <a:extLst>
            <a:ext uri="{FF2B5EF4-FFF2-40B4-BE49-F238E27FC236}">
              <a16:creationId xmlns:a16="http://schemas.microsoft.com/office/drawing/2014/main" id="{6A17ECC3-3000-4CDF-A950-59E8D53D8A62}"/>
            </a:ext>
          </a:extLst>
        </xdr:cNvPr>
        <xdr:cNvGrpSpPr/>
      </xdr:nvGrpSpPr>
      <xdr:grpSpPr>
        <a:xfrm>
          <a:off x="14144624" y="48529861"/>
          <a:ext cx="2357439" cy="1571639"/>
          <a:chOff x="-1971675" y="7040103"/>
          <a:chExt cx="1550195" cy="487844"/>
        </a:xfrm>
      </xdr:grpSpPr>
      <xdr:sp macro="" textlink="">
        <xdr:nvSpPr>
          <xdr:cNvPr id="87" name="직사각형 86">
            <a:extLst>
              <a:ext uri="{FF2B5EF4-FFF2-40B4-BE49-F238E27FC236}">
                <a16:creationId xmlns:a16="http://schemas.microsoft.com/office/drawing/2014/main" id="{EE45F173-921A-2480-C9CB-FCFBC7E109D1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88" name="직사각형 87">
            <a:extLst>
              <a:ext uri="{FF2B5EF4-FFF2-40B4-BE49-F238E27FC236}">
                <a16:creationId xmlns:a16="http://schemas.microsoft.com/office/drawing/2014/main" id="{02965454-7456-456A-1EEE-DCF785ECCA26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89" name="직사각형 88">
            <a:extLst>
              <a:ext uri="{FF2B5EF4-FFF2-40B4-BE49-F238E27FC236}">
                <a16:creationId xmlns:a16="http://schemas.microsoft.com/office/drawing/2014/main" id="{329F6DF4-48B8-5B5E-927A-FFC247397ED4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90" name="직사각형 89">
            <a:extLst>
              <a:ext uri="{FF2B5EF4-FFF2-40B4-BE49-F238E27FC236}">
                <a16:creationId xmlns:a16="http://schemas.microsoft.com/office/drawing/2014/main" id="{C9B5F540-E37D-7DC6-F78F-A18EBD4EF01D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91" name="직사각형 90">
            <a:extLst>
              <a:ext uri="{FF2B5EF4-FFF2-40B4-BE49-F238E27FC236}">
                <a16:creationId xmlns:a16="http://schemas.microsoft.com/office/drawing/2014/main" id="{8B89A561-B290-2EA6-D1DF-097A631222E4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92" name="직선 화살표 연결선 91">
            <a:extLst>
              <a:ext uri="{FF2B5EF4-FFF2-40B4-BE49-F238E27FC236}">
                <a16:creationId xmlns:a16="http://schemas.microsoft.com/office/drawing/2014/main" id="{570E6430-5465-1870-20C8-E36722BD7A9E}"/>
              </a:ext>
            </a:extLst>
          </xdr:cNvPr>
          <xdr:cNvCxnSpPr>
            <a:cxnSpLocks/>
          </xdr:cNvCxnSpPr>
        </xdr:nvCxnSpPr>
        <xdr:spPr>
          <a:xfrm flipH="1">
            <a:off x="-602455" y="7119506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직선 화살표 연결선 92">
            <a:extLst>
              <a:ext uri="{FF2B5EF4-FFF2-40B4-BE49-F238E27FC236}">
                <a16:creationId xmlns:a16="http://schemas.microsoft.com/office/drawing/2014/main" id="{4D54F9EB-4770-9A1B-569D-340F4B31992B}"/>
              </a:ext>
            </a:extLst>
          </xdr:cNvPr>
          <xdr:cNvCxnSpPr>
            <a:cxnSpLocks/>
          </xdr:cNvCxnSpPr>
        </xdr:nvCxnSpPr>
        <xdr:spPr>
          <a:xfrm flipH="1">
            <a:off x="-602455" y="7333561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500060</xdr:colOff>
      <xdr:row>22</xdr:row>
      <xdr:rowOff>642924</xdr:rowOff>
    </xdr:from>
    <xdr:to>
      <xdr:col>11</xdr:col>
      <xdr:colOff>595311</xdr:colOff>
      <xdr:row>22</xdr:row>
      <xdr:rowOff>2214563</xdr:rowOff>
    </xdr:to>
    <xdr:grpSp>
      <xdr:nvGrpSpPr>
        <xdr:cNvPr id="94" name="그룹 93">
          <a:extLst>
            <a:ext uri="{FF2B5EF4-FFF2-40B4-BE49-F238E27FC236}">
              <a16:creationId xmlns:a16="http://schemas.microsoft.com/office/drawing/2014/main" id="{30AA099C-5753-4B11-B314-71BF3275B5A2}"/>
            </a:ext>
          </a:extLst>
        </xdr:cNvPr>
        <xdr:cNvGrpSpPr/>
      </xdr:nvGrpSpPr>
      <xdr:grpSpPr>
        <a:xfrm>
          <a:off x="17454560" y="48506049"/>
          <a:ext cx="2357439" cy="1571639"/>
          <a:chOff x="-1971675" y="7040103"/>
          <a:chExt cx="1550195" cy="487844"/>
        </a:xfrm>
      </xdr:grpSpPr>
      <xdr:sp macro="" textlink="">
        <xdr:nvSpPr>
          <xdr:cNvPr id="95" name="직사각형 94">
            <a:extLst>
              <a:ext uri="{FF2B5EF4-FFF2-40B4-BE49-F238E27FC236}">
                <a16:creationId xmlns:a16="http://schemas.microsoft.com/office/drawing/2014/main" id="{1586A30A-1D11-DA1F-69E6-D881B5C2C405}"/>
              </a:ext>
            </a:extLst>
          </xdr:cNvPr>
          <xdr:cNvSpPr/>
        </xdr:nvSpPr>
        <xdr:spPr>
          <a:xfrm>
            <a:off x="-1971675" y="7143750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96" name="직사각형 95">
            <a:extLst>
              <a:ext uri="{FF2B5EF4-FFF2-40B4-BE49-F238E27FC236}">
                <a16:creationId xmlns:a16="http://schemas.microsoft.com/office/drawing/2014/main" id="{6FD85938-47BA-2626-C2F4-838FB92E84E0}"/>
              </a:ext>
            </a:extLst>
          </xdr:cNvPr>
          <xdr:cNvSpPr/>
        </xdr:nvSpPr>
        <xdr:spPr>
          <a:xfrm>
            <a:off x="-1971675" y="724462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97" name="직사각형 96">
            <a:extLst>
              <a:ext uri="{FF2B5EF4-FFF2-40B4-BE49-F238E27FC236}">
                <a16:creationId xmlns:a16="http://schemas.microsoft.com/office/drawing/2014/main" id="{55D066A7-3BD6-9EBE-C2AE-40413C3F10B8}"/>
              </a:ext>
            </a:extLst>
          </xdr:cNvPr>
          <xdr:cNvSpPr/>
        </xdr:nvSpPr>
        <xdr:spPr>
          <a:xfrm>
            <a:off x="-1971675" y="7040103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98" name="직사각형 97">
            <a:extLst>
              <a:ext uri="{FF2B5EF4-FFF2-40B4-BE49-F238E27FC236}">
                <a16:creationId xmlns:a16="http://schemas.microsoft.com/office/drawing/2014/main" id="{681B8A57-040E-CCBF-22CC-E7EC11346097}"/>
              </a:ext>
            </a:extLst>
          </xdr:cNvPr>
          <xdr:cNvSpPr/>
        </xdr:nvSpPr>
        <xdr:spPr>
          <a:xfrm>
            <a:off x="-1971675" y="7352536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sp macro="" textlink="">
        <xdr:nvSpPr>
          <xdr:cNvPr id="99" name="직사각형 98">
            <a:extLst>
              <a:ext uri="{FF2B5EF4-FFF2-40B4-BE49-F238E27FC236}">
                <a16:creationId xmlns:a16="http://schemas.microsoft.com/office/drawing/2014/main" id="{C58B8363-6A9E-EBDB-0F83-4271D1C4AED4}"/>
              </a:ext>
            </a:extLst>
          </xdr:cNvPr>
          <xdr:cNvSpPr/>
        </xdr:nvSpPr>
        <xdr:spPr>
          <a:xfrm>
            <a:off x="-1971675" y="7460449"/>
            <a:ext cx="1352550" cy="6749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altLang="en-US"/>
          </a:p>
        </xdr:txBody>
      </xdr:sp>
      <xdr:cxnSp macro="">
        <xdr:nvCxnSpPr>
          <xdr:cNvPr id="100" name="직선 화살표 연결선 99">
            <a:extLst>
              <a:ext uri="{FF2B5EF4-FFF2-40B4-BE49-F238E27FC236}">
                <a16:creationId xmlns:a16="http://schemas.microsoft.com/office/drawing/2014/main" id="{4B6311BD-0641-DA7D-229A-5CFE141223F8}"/>
              </a:ext>
            </a:extLst>
          </xdr:cNvPr>
          <xdr:cNvCxnSpPr>
            <a:cxnSpLocks/>
          </xdr:cNvCxnSpPr>
        </xdr:nvCxnSpPr>
        <xdr:spPr>
          <a:xfrm flipH="1">
            <a:off x="-602455" y="723173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직선 화살표 연결선 100">
            <a:extLst>
              <a:ext uri="{FF2B5EF4-FFF2-40B4-BE49-F238E27FC236}">
                <a16:creationId xmlns:a16="http://schemas.microsoft.com/office/drawing/2014/main" id="{EA1DA42D-3038-F525-5D7B-A376025E106B}"/>
              </a:ext>
            </a:extLst>
          </xdr:cNvPr>
          <xdr:cNvCxnSpPr>
            <a:cxnSpLocks/>
          </xdr:cNvCxnSpPr>
        </xdr:nvCxnSpPr>
        <xdr:spPr>
          <a:xfrm flipH="1">
            <a:off x="-602455" y="7439958"/>
            <a:ext cx="18097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5</xdr:col>
      <xdr:colOff>928688</xdr:colOff>
      <xdr:row>21</xdr:row>
      <xdr:rowOff>649432</xdr:rowOff>
    </xdr:from>
    <xdr:to>
      <xdr:col>5</xdr:col>
      <xdr:colOff>1777279</xdr:colOff>
      <xdr:row>21</xdr:row>
      <xdr:rowOff>2231448</xdr:rowOff>
    </xdr:to>
    <xdr:pic>
      <xdr:nvPicPr>
        <xdr:cNvPr id="102" name="그림 101">
          <a:extLst>
            <a:ext uri="{FF2B5EF4-FFF2-40B4-BE49-F238E27FC236}">
              <a16:creationId xmlns:a16="http://schemas.microsoft.com/office/drawing/2014/main" id="{E264F20E-EB2E-408B-A737-F8FCB0017C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0604" r="15164" b="7596"/>
        <a:stretch/>
      </xdr:blipFill>
      <xdr:spPr>
        <a:xfrm>
          <a:off x="7691438" y="50398507"/>
          <a:ext cx="848591" cy="1582016"/>
        </a:xfrm>
        <a:prstGeom prst="rect">
          <a:avLst/>
        </a:prstGeom>
      </xdr:spPr>
    </xdr:pic>
    <xdr:clientData/>
  </xdr:twoCellAnchor>
  <xdr:twoCellAnchor editAs="oneCell">
    <xdr:from>
      <xdr:col>6</xdr:col>
      <xdr:colOff>1814081</xdr:colOff>
      <xdr:row>21</xdr:row>
      <xdr:rowOff>692728</xdr:rowOff>
    </xdr:from>
    <xdr:to>
      <xdr:col>7</xdr:col>
      <xdr:colOff>318806</xdr:colOff>
      <xdr:row>21</xdr:row>
      <xdr:rowOff>2344198</xdr:rowOff>
    </xdr:to>
    <xdr:pic>
      <xdr:nvPicPr>
        <xdr:cNvPr id="103" name="그림 102">
          <a:extLst>
            <a:ext uri="{FF2B5EF4-FFF2-40B4-BE49-F238E27FC236}">
              <a16:creationId xmlns:a16="http://schemas.microsoft.com/office/drawing/2014/main" id="{1F9CF74F-FD19-4C85-B57C-C2DC26AB7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3331" y="50441803"/>
          <a:ext cx="1076475" cy="1651470"/>
        </a:xfrm>
        <a:prstGeom prst="rect">
          <a:avLst/>
        </a:prstGeom>
      </xdr:spPr>
    </xdr:pic>
    <xdr:clientData/>
  </xdr:twoCellAnchor>
  <xdr:twoCellAnchor editAs="oneCell">
    <xdr:from>
      <xdr:col>8</xdr:col>
      <xdr:colOff>84428</xdr:colOff>
      <xdr:row>21</xdr:row>
      <xdr:rowOff>619124</xdr:rowOff>
    </xdr:from>
    <xdr:to>
      <xdr:col>8</xdr:col>
      <xdr:colOff>933019</xdr:colOff>
      <xdr:row>21</xdr:row>
      <xdr:rowOff>2302452</xdr:rowOff>
    </xdr:to>
    <xdr:pic>
      <xdr:nvPicPr>
        <xdr:cNvPr id="104" name="그림 103">
          <a:extLst>
            <a:ext uri="{FF2B5EF4-FFF2-40B4-BE49-F238E27FC236}">
              <a16:creationId xmlns:a16="http://schemas.microsoft.com/office/drawing/2014/main" id="{F02EB6AC-96D6-4865-ADC7-6B2CB56AC8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4924" r="18600" b="9705"/>
        <a:stretch/>
      </xdr:blipFill>
      <xdr:spPr>
        <a:xfrm>
          <a:off x="14467178" y="50368199"/>
          <a:ext cx="848591" cy="1683328"/>
        </a:xfrm>
        <a:prstGeom prst="rect">
          <a:avLst/>
        </a:prstGeom>
      </xdr:spPr>
    </xdr:pic>
    <xdr:clientData/>
  </xdr:twoCellAnchor>
  <xdr:twoCellAnchor editAs="oneCell">
    <xdr:from>
      <xdr:col>9</xdr:col>
      <xdr:colOff>749015</xdr:colOff>
      <xdr:row>21</xdr:row>
      <xdr:rowOff>671079</xdr:rowOff>
    </xdr:from>
    <xdr:to>
      <xdr:col>9</xdr:col>
      <xdr:colOff>1881782</xdr:colOff>
      <xdr:row>21</xdr:row>
      <xdr:rowOff>2427334</xdr:rowOff>
    </xdr:to>
    <xdr:pic>
      <xdr:nvPicPr>
        <xdr:cNvPr id="105" name="그림 104">
          <a:extLst>
            <a:ext uri="{FF2B5EF4-FFF2-40B4-BE49-F238E27FC236}">
              <a16:creationId xmlns:a16="http://schemas.microsoft.com/office/drawing/2014/main" id="{29E7802E-3026-44D4-B411-46AE450C3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703515" y="50420154"/>
          <a:ext cx="1132767" cy="175625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523875</xdr:colOff>
      <xdr:row>32</xdr:row>
      <xdr:rowOff>762000</xdr:rowOff>
    </xdr:from>
    <xdr:to>
      <xdr:col>6</xdr:col>
      <xdr:colOff>2500312</xdr:colOff>
      <xdr:row>32</xdr:row>
      <xdr:rowOff>2290690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02079AD-A9BC-0EAB-F686-75507736D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86625" y="73914000"/>
          <a:ext cx="4452937" cy="15286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500063</xdr:colOff>
      <xdr:row>32</xdr:row>
      <xdr:rowOff>714375</xdr:rowOff>
    </xdr:from>
    <xdr:to>
      <xdr:col>6</xdr:col>
      <xdr:colOff>2476500</xdr:colOff>
      <xdr:row>32</xdr:row>
      <xdr:rowOff>2243065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402079AD-A9BC-0EAB-F686-75507736D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62813" y="73866375"/>
          <a:ext cx="4452937" cy="152869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976312</xdr:colOff>
      <xdr:row>37</xdr:row>
      <xdr:rowOff>471487</xdr:rowOff>
    </xdr:from>
    <xdr:to>
      <xdr:col>7</xdr:col>
      <xdr:colOff>285750</xdr:colOff>
      <xdr:row>37</xdr:row>
      <xdr:rowOff>2439837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7CCEAF42-FA29-919B-6264-A93A4D52A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5562" y="86720362"/>
          <a:ext cx="1881188" cy="1968350"/>
        </a:xfrm>
        <a:prstGeom prst="rect">
          <a:avLst/>
        </a:prstGeom>
      </xdr:spPr>
    </xdr:pic>
    <xdr:clientData/>
  </xdr:twoCellAnchor>
  <xdr:twoCellAnchor editAs="oneCell">
    <xdr:from>
      <xdr:col>5</xdr:col>
      <xdr:colOff>928688</xdr:colOff>
      <xdr:row>37</xdr:row>
      <xdr:rowOff>476249</xdr:rowOff>
    </xdr:from>
    <xdr:to>
      <xdr:col>6</xdr:col>
      <xdr:colOff>161296</xdr:colOff>
      <xdr:row>37</xdr:row>
      <xdr:rowOff>2452686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DF067B0-A083-F636-21B6-173D7431D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91438" y="86725124"/>
          <a:ext cx="1709108" cy="1976437"/>
        </a:xfrm>
        <a:prstGeom prst="rect">
          <a:avLst/>
        </a:prstGeom>
      </xdr:spPr>
    </xdr:pic>
    <xdr:clientData/>
  </xdr:twoCellAnchor>
  <xdr:twoCellAnchor editAs="oneCell">
    <xdr:from>
      <xdr:col>7</xdr:col>
      <xdr:colOff>1023937</xdr:colOff>
      <xdr:row>37</xdr:row>
      <xdr:rowOff>414336</xdr:rowOff>
    </xdr:from>
    <xdr:to>
      <xdr:col>8</xdr:col>
      <xdr:colOff>357187</xdr:colOff>
      <xdr:row>37</xdr:row>
      <xdr:rowOff>2456843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6C450430-73C3-DF27-0738-B4F360853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834937" y="86663211"/>
          <a:ext cx="1905000" cy="2042507"/>
        </a:xfrm>
        <a:prstGeom prst="rect">
          <a:avLst/>
        </a:prstGeom>
      </xdr:spPr>
    </xdr:pic>
    <xdr:clientData/>
  </xdr:twoCellAnchor>
  <xdr:twoCellAnchor editAs="oneCell">
    <xdr:from>
      <xdr:col>8</xdr:col>
      <xdr:colOff>1095374</xdr:colOff>
      <xdr:row>37</xdr:row>
      <xdr:rowOff>442912</xdr:rowOff>
    </xdr:from>
    <xdr:to>
      <xdr:col>9</xdr:col>
      <xdr:colOff>285749</xdr:colOff>
      <xdr:row>37</xdr:row>
      <xdr:rowOff>2396357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18431C61-1945-C6D8-1CC0-73C13348B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478124" y="86691787"/>
          <a:ext cx="1762125" cy="195344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  <pageSetUpPr fitToPage="1"/>
  </sheetPr>
  <dimension ref="B2:Q29"/>
  <sheetViews>
    <sheetView showGridLines="0" zoomScaleNormal="100" workbookViewId="0">
      <selection activeCell="H3" sqref="H3"/>
    </sheetView>
  </sheetViews>
  <sheetFormatPr defaultColWidth="9.125" defaultRowHeight="29.25" customHeight="1" x14ac:dyDescent="0.3"/>
  <cols>
    <col min="1" max="1" width="2.625" style="3" customWidth="1"/>
    <col min="2" max="2" width="38.375" style="4" customWidth="1"/>
    <col min="3" max="6" width="10.5" style="3" customWidth="1"/>
    <col min="7" max="7" width="4.875" style="3" customWidth="1"/>
    <col min="8" max="8" width="7.75" style="3" customWidth="1"/>
    <col min="9" max="9" width="9.125" style="3"/>
    <col min="10" max="10" width="1" style="3" customWidth="1"/>
    <col min="11" max="11" width="31.625" style="4" bestFit="1" customWidth="1"/>
    <col min="12" max="13" width="14.875" style="4" customWidth="1"/>
    <col min="14" max="14" width="31.625" style="4" bestFit="1" customWidth="1"/>
    <col min="15" max="15" width="11.125" style="4" customWidth="1"/>
    <col min="16" max="17" width="14.875" style="4" customWidth="1"/>
    <col min="18" max="16384" width="9.125" style="3"/>
  </cols>
  <sheetData>
    <row r="2" spans="2:17" ht="29.25" customHeight="1" x14ac:dyDescent="0.3">
      <c r="B2" s="7" t="s">
        <v>23</v>
      </c>
      <c r="C2" s="8" t="s">
        <v>25</v>
      </c>
      <c r="D2" s="8" t="s">
        <v>21</v>
      </c>
      <c r="E2" s="8" t="s">
        <v>22</v>
      </c>
      <c r="F2" s="102" t="s">
        <v>45</v>
      </c>
      <c r="K2" s="50" t="s">
        <v>48</v>
      </c>
      <c r="L2" s="50" t="s">
        <v>37</v>
      </c>
      <c r="M2" s="50" t="s">
        <v>39</v>
      </c>
      <c r="N2" s="50" t="s">
        <v>49</v>
      </c>
      <c r="O2" s="50" t="s">
        <v>31</v>
      </c>
      <c r="P2" s="50" t="s">
        <v>35</v>
      </c>
      <c r="Q2" s="50" t="s">
        <v>4</v>
      </c>
    </row>
    <row r="3" spans="2:17" ht="29.25" customHeight="1" x14ac:dyDescent="0.3">
      <c r="B3" s="26" t="s">
        <v>20</v>
      </c>
      <c r="C3" s="27">
        <v>2.5</v>
      </c>
      <c r="D3" s="27">
        <v>4</v>
      </c>
      <c r="E3" s="30">
        <v>5</v>
      </c>
      <c r="F3" s="103"/>
      <c r="K3" s="51" t="s">
        <v>431</v>
      </c>
      <c r="L3" s="98" t="s">
        <v>450</v>
      </c>
      <c r="M3" s="98" t="s">
        <v>450</v>
      </c>
      <c r="N3" s="49" t="s">
        <v>432</v>
      </c>
      <c r="O3" s="49">
        <v>0</v>
      </c>
      <c r="P3" s="49" t="s">
        <v>51</v>
      </c>
      <c r="Q3" s="49" t="s">
        <v>433</v>
      </c>
    </row>
    <row r="4" spans="2:17" ht="29.25" customHeight="1" x14ac:dyDescent="0.3">
      <c r="B4" s="5" t="s">
        <v>1007</v>
      </c>
      <c r="C4" s="6">
        <v>2</v>
      </c>
      <c r="D4" s="6">
        <v>20</v>
      </c>
      <c r="E4" s="31">
        <v>3</v>
      </c>
      <c r="F4" s="32">
        <f>SUM(C4:E4)</f>
        <v>25</v>
      </c>
      <c r="K4" s="51" t="s">
        <v>71</v>
      </c>
      <c r="L4" s="49" t="s">
        <v>38</v>
      </c>
      <c r="M4" s="49" t="s">
        <v>50</v>
      </c>
      <c r="N4" s="49" t="s">
        <v>32</v>
      </c>
      <c r="O4" s="49">
        <v>8</v>
      </c>
      <c r="P4" s="49" t="s">
        <v>435</v>
      </c>
      <c r="Q4" s="49" t="s">
        <v>436</v>
      </c>
    </row>
    <row r="5" spans="2:17" ht="29.25" customHeight="1" x14ac:dyDescent="0.3">
      <c r="B5" s="28" t="s">
        <v>44</v>
      </c>
      <c r="C5" s="29">
        <f>C4*C3</f>
        <v>5</v>
      </c>
      <c r="D5" s="29">
        <f t="shared" ref="D5:E5" si="0">D4*D3</f>
        <v>80</v>
      </c>
      <c r="E5" s="33">
        <f t="shared" si="0"/>
        <v>15</v>
      </c>
      <c r="F5" s="34">
        <f>SUM(C5:E5)</f>
        <v>100</v>
      </c>
      <c r="K5" s="51" t="s">
        <v>24</v>
      </c>
      <c r="L5" s="49" t="s">
        <v>38</v>
      </c>
      <c r="M5" s="49" t="s">
        <v>50</v>
      </c>
      <c r="N5" s="49" t="s">
        <v>32</v>
      </c>
      <c r="O5" s="49">
        <v>8</v>
      </c>
      <c r="P5" s="49" t="s">
        <v>435</v>
      </c>
      <c r="Q5" s="49" t="s">
        <v>434</v>
      </c>
    </row>
    <row r="6" spans="2:17" ht="29.25" customHeight="1" x14ac:dyDescent="0.3">
      <c r="B6" s="3"/>
      <c r="K6" s="51" t="s">
        <v>216</v>
      </c>
      <c r="L6" s="49" t="s">
        <v>38</v>
      </c>
      <c r="M6" s="49" t="s">
        <v>50</v>
      </c>
      <c r="N6" s="49" t="s">
        <v>439</v>
      </c>
      <c r="O6" s="49">
        <v>0</v>
      </c>
      <c r="P6" s="49" t="s">
        <v>440</v>
      </c>
      <c r="Q6" s="49" t="s">
        <v>436</v>
      </c>
    </row>
    <row r="7" spans="2:17" ht="29.25" customHeight="1" x14ac:dyDescent="0.3">
      <c r="B7" s="3"/>
      <c r="K7" s="51" t="s">
        <v>437</v>
      </c>
      <c r="L7" s="49" t="s">
        <v>38</v>
      </c>
      <c r="M7" s="49" t="s">
        <v>50</v>
      </c>
      <c r="N7" s="49" t="s">
        <v>439</v>
      </c>
      <c r="O7" s="49">
        <v>0</v>
      </c>
      <c r="P7" s="49" t="s">
        <v>440</v>
      </c>
      <c r="Q7" s="49" t="s">
        <v>434</v>
      </c>
    </row>
    <row r="8" spans="2:17" ht="29.25" customHeight="1" x14ac:dyDescent="0.3">
      <c r="B8" s="3"/>
      <c r="K8" s="51" t="s">
        <v>438</v>
      </c>
      <c r="L8" s="49" t="s">
        <v>38</v>
      </c>
      <c r="M8" s="49" t="s">
        <v>50</v>
      </c>
      <c r="N8" s="49" t="s">
        <v>443</v>
      </c>
      <c r="O8" s="49">
        <v>8</v>
      </c>
      <c r="P8" s="49" t="s">
        <v>444</v>
      </c>
      <c r="Q8" s="49" t="s">
        <v>436</v>
      </c>
    </row>
    <row r="9" spans="2:17" ht="29.25" customHeight="1" x14ac:dyDescent="0.3">
      <c r="B9" s="3"/>
      <c r="K9" s="51" t="s">
        <v>441</v>
      </c>
      <c r="L9" s="49" t="s">
        <v>38</v>
      </c>
      <c r="M9" s="49" t="s">
        <v>50</v>
      </c>
      <c r="N9" s="49" t="s">
        <v>442</v>
      </c>
      <c r="O9" s="49">
        <v>8</v>
      </c>
      <c r="P9" s="49" t="s">
        <v>444</v>
      </c>
      <c r="Q9" s="49" t="s">
        <v>434</v>
      </c>
    </row>
    <row r="10" spans="2:17" ht="29.25" customHeight="1" x14ac:dyDescent="0.3">
      <c r="B10" s="3"/>
      <c r="K10" s="99" t="s">
        <v>148</v>
      </c>
      <c r="L10" s="49" t="s">
        <v>38</v>
      </c>
      <c r="M10" s="49" t="s">
        <v>50</v>
      </c>
      <c r="N10" s="49" t="s">
        <v>451</v>
      </c>
      <c r="O10" s="49">
        <v>8</v>
      </c>
      <c r="P10" s="49" t="s">
        <v>456</v>
      </c>
      <c r="Q10" s="49" t="s">
        <v>436</v>
      </c>
    </row>
    <row r="11" spans="2:17" ht="29.25" customHeight="1" x14ac:dyDescent="0.3">
      <c r="B11" s="3"/>
      <c r="K11" s="99" t="s">
        <v>452</v>
      </c>
      <c r="L11" s="49" t="s">
        <v>38</v>
      </c>
      <c r="M11" s="49" t="s">
        <v>50</v>
      </c>
      <c r="N11" s="49" t="s">
        <v>451</v>
      </c>
      <c r="O11" s="49">
        <v>8</v>
      </c>
      <c r="P11" s="49" t="s">
        <v>459</v>
      </c>
      <c r="Q11" s="49" t="s">
        <v>434</v>
      </c>
    </row>
    <row r="12" spans="2:17" ht="29.25" customHeight="1" x14ac:dyDescent="0.3">
      <c r="K12" s="99" t="s">
        <v>453</v>
      </c>
      <c r="L12" s="49" t="s">
        <v>460</v>
      </c>
      <c r="M12" s="49" t="s">
        <v>458</v>
      </c>
      <c r="N12" s="49" t="s">
        <v>460</v>
      </c>
      <c r="O12" s="49">
        <v>6</v>
      </c>
      <c r="P12" s="49" t="s">
        <v>461</v>
      </c>
      <c r="Q12" s="49" t="s">
        <v>436</v>
      </c>
    </row>
    <row r="13" spans="2:17" ht="29.25" customHeight="1" x14ac:dyDescent="0.3">
      <c r="K13" s="99" t="s">
        <v>454</v>
      </c>
      <c r="L13" s="49" t="s">
        <v>460</v>
      </c>
      <c r="M13" s="49" t="s">
        <v>458</v>
      </c>
      <c r="N13" s="49" t="s">
        <v>460</v>
      </c>
      <c r="O13" s="49">
        <v>6</v>
      </c>
      <c r="P13" s="49" t="s">
        <v>461</v>
      </c>
      <c r="Q13" s="49" t="s">
        <v>434</v>
      </c>
    </row>
    <row r="14" spans="2:17" ht="29.25" customHeight="1" x14ac:dyDescent="0.3">
      <c r="K14" s="99" t="s">
        <v>455</v>
      </c>
      <c r="L14" s="49" t="s">
        <v>457</v>
      </c>
      <c r="M14" s="49" t="s">
        <v>458</v>
      </c>
      <c r="N14" s="49" t="s">
        <v>457</v>
      </c>
      <c r="O14" s="49">
        <v>8</v>
      </c>
      <c r="P14" s="49" t="s">
        <v>459</v>
      </c>
      <c r="Q14" s="49" t="s">
        <v>436</v>
      </c>
    </row>
    <row r="15" spans="2:17" ht="29.25" customHeight="1" x14ac:dyDescent="0.3">
      <c r="K15" s="99" t="s">
        <v>160</v>
      </c>
      <c r="L15" s="49" t="s">
        <v>457</v>
      </c>
      <c r="M15" s="49" t="s">
        <v>458</v>
      </c>
      <c r="N15" s="49" t="s">
        <v>457</v>
      </c>
      <c r="O15" s="49">
        <v>8</v>
      </c>
      <c r="P15" s="49" t="s">
        <v>459</v>
      </c>
      <c r="Q15" s="49" t="s">
        <v>434</v>
      </c>
    </row>
    <row r="16" spans="2:17" ht="29.25" customHeight="1" x14ac:dyDescent="0.3">
      <c r="K16" s="99" t="s">
        <v>485</v>
      </c>
      <c r="L16" s="49" t="s">
        <v>482</v>
      </c>
      <c r="M16" s="49" t="s">
        <v>483</v>
      </c>
      <c r="N16" s="49" t="s">
        <v>482</v>
      </c>
      <c r="O16" s="49">
        <v>1</v>
      </c>
      <c r="P16" s="49" t="s">
        <v>484</v>
      </c>
      <c r="Q16" s="49" t="s">
        <v>436</v>
      </c>
    </row>
    <row r="17" spans="11:17" ht="29.25" customHeight="1" x14ac:dyDescent="0.3">
      <c r="K17" s="99" t="s">
        <v>486</v>
      </c>
      <c r="L17" s="49" t="s">
        <v>482</v>
      </c>
      <c r="M17" s="49" t="s">
        <v>483</v>
      </c>
      <c r="N17" s="49" t="s">
        <v>482</v>
      </c>
      <c r="O17" s="49">
        <v>1</v>
      </c>
      <c r="P17" s="49" t="s">
        <v>484</v>
      </c>
      <c r="Q17" s="49" t="s">
        <v>434</v>
      </c>
    </row>
    <row r="18" spans="11:17" ht="29.25" customHeight="1" x14ac:dyDescent="0.3">
      <c r="K18" s="99" t="s">
        <v>468</v>
      </c>
      <c r="L18" s="49" t="s">
        <v>470</v>
      </c>
      <c r="M18" s="49" t="s">
        <v>471</v>
      </c>
      <c r="N18" s="49" t="s">
        <v>472</v>
      </c>
      <c r="O18" s="49">
        <v>7</v>
      </c>
      <c r="P18" s="49" t="s">
        <v>473</v>
      </c>
      <c r="Q18" s="49" t="s">
        <v>436</v>
      </c>
    </row>
    <row r="19" spans="11:17" ht="29.25" customHeight="1" x14ac:dyDescent="0.3">
      <c r="K19" s="99" t="s">
        <v>467</v>
      </c>
      <c r="L19" s="49" t="s">
        <v>470</v>
      </c>
      <c r="M19" s="49" t="s">
        <v>471</v>
      </c>
      <c r="N19" s="49" t="s">
        <v>472</v>
      </c>
      <c r="O19" s="49">
        <v>7</v>
      </c>
      <c r="P19" s="49" t="s">
        <v>473</v>
      </c>
      <c r="Q19" s="49" t="s">
        <v>434</v>
      </c>
    </row>
    <row r="20" spans="11:17" ht="29.25" customHeight="1" x14ac:dyDescent="0.3">
      <c r="K20" s="51" t="s">
        <v>189</v>
      </c>
      <c r="L20" s="49" t="s">
        <v>474</v>
      </c>
      <c r="M20" s="49" t="s">
        <v>471</v>
      </c>
      <c r="N20" s="49" t="s">
        <v>474</v>
      </c>
      <c r="O20" s="49">
        <v>9</v>
      </c>
      <c r="P20" s="49" t="s">
        <v>475</v>
      </c>
      <c r="Q20" s="49" t="s">
        <v>436</v>
      </c>
    </row>
    <row r="21" spans="11:17" ht="29.25" customHeight="1" x14ac:dyDescent="0.3">
      <c r="K21" s="51" t="s">
        <v>199</v>
      </c>
      <c r="L21" s="49" t="s">
        <v>474</v>
      </c>
      <c r="M21" s="49" t="s">
        <v>471</v>
      </c>
      <c r="N21" s="49" t="s">
        <v>474</v>
      </c>
      <c r="O21" s="49">
        <v>9</v>
      </c>
      <c r="P21" s="49" t="s">
        <v>475</v>
      </c>
      <c r="Q21" s="49" t="s">
        <v>434</v>
      </c>
    </row>
    <row r="22" spans="11:17" ht="29.25" customHeight="1" x14ac:dyDescent="0.3">
      <c r="K22" s="51" t="s">
        <v>466</v>
      </c>
      <c r="L22" s="49" t="s">
        <v>476</v>
      </c>
      <c r="M22" s="49" t="s">
        <v>471</v>
      </c>
      <c r="N22" s="49" t="s">
        <v>476</v>
      </c>
      <c r="O22" s="49">
        <v>8</v>
      </c>
      <c r="P22" s="49" t="s">
        <v>477</v>
      </c>
      <c r="Q22" s="49" t="s">
        <v>436</v>
      </c>
    </row>
    <row r="23" spans="11:17" ht="29.25" customHeight="1" x14ac:dyDescent="0.3">
      <c r="K23" s="51" t="s">
        <v>465</v>
      </c>
      <c r="L23" s="49" t="s">
        <v>476</v>
      </c>
      <c r="M23" s="49" t="s">
        <v>471</v>
      </c>
      <c r="N23" s="49" t="s">
        <v>476</v>
      </c>
      <c r="O23" s="49">
        <v>8</v>
      </c>
      <c r="P23" s="49" t="s">
        <v>477</v>
      </c>
      <c r="Q23" s="49" t="s">
        <v>434</v>
      </c>
    </row>
    <row r="24" spans="11:17" ht="29.25" customHeight="1" x14ac:dyDescent="0.3">
      <c r="K24" s="51" t="s">
        <v>469</v>
      </c>
      <c r="L24" s="49" t="s">
        <v>462</v>
      </c>
      <c r="M24" s="49" t="s">
        <v>458</v>
      </c>
      <c r="N24" s="49" t="s">
        <v>462</v>
      </c>
      <c r="O24" s="49">
        <v>3</v>
      </c>
      <c r="P24" s="49" t="s">
        <v>463</v>
      </c>
      <c r="Q24" s="49" t="s">
        <v>436</v>
      </c>
    </row>
    <row r="25" spans="11:17" ht="29.25" customHeight="1" x14ac:dyDescent="0.3">
      <c r="K25" s="51" t="s">
        <v>223</v>
      </c>
      <c r="L25" s="49" t="s">
        <v>462</v>
      </c>
      <c r="M25" s="49" t="s">
        <v>458</v>
      </c>
      <c r="N25" s="49" t="s">
        <v>462</v>
      </c>
      <c r="O25" s="49">
        <v>3</v>
      </c>
      <c r="P25" s="49" t="s">
        <v>463</v>
      </c>
      <c r="Q25" s="49" t="s">
        <v>434</v>
      </c>
    </row>
    <row r="26" spans="11:17" ht="29.25" customHeight="1" x14ac:dyDescent="0.3">
      <c r="K26" s="52" t="s">
        <v>235</v>
      </c>
      <c r="L26" s="49" t="s">
        <v>478</v>
      </c>
      <c r="M26" s="49" t="s">
        <v>471</v>
      </c>
      <c r="N26" s="49" t="s">
        <v>478</v>
      </c>
      <c r="O26" s="49">
        <v>4</v>
      </c>
      <c r="P26" s="49" t="s">
        <v>479</v>
      </c>
      <c r="Q26" s="49" t="s">
        <v>436</v>
      </c>
    </row>
    <row r="27" spans="11:17" ht="29.25" customHeight="1" x14ac:dyDescent="0.3">
      <c r="K27" s="52" t="s">
        <v>242</v>
      </c>
      <c r="L27" s="49" t="s">
        <v>478</v>
      </c>
      <c r="M27" s="49" t="s">
        <v>471</v>
      </c>
      <c r="N27" s="49" t="s">
        <v>478</v>
      </c>
      <c r="O27" s="49">
        <v>4</v>
      </c>
      <c r="P27" s="49" t="s">
        <v>479</v>
      </c>
      <c r="Q27" s="49" t="s">
        <v>434</v>
      </c>
    </row>
    <row r="28" spans="11:17" ht="29.25" customHeight="1" x14ac:dyDescent="0.3">
      <c r="K28" s="52" t="s">
        <v>254</v>
      </c>
      <c r="L28" s="49" t="s">
        <v>480</v>
      </c>
      <c r="M28" s="49" t="s">
        <v>471</v>
      </c>
      <c r="N28" s="49" t="s">
        <v>480</v>
      </c>
      <c r="O28" s="49">
        <v>8</v>
      </c>
      <c r="P28" s="49" t="s">
        <v>481</v>
      </c>
      <c r="Q28" s="49" t="s">
        <v>436</v>
      </c>
    </row>
    <row r="29" spans="11:17" ht="29.25" customHeight="1" x14ac:dyDescent="0.3">
      <c r="K29" s="52" t="s">
        <v>464</v>
      </c>
      <c r="L29" s="49" t="s">
        <v>480</v>
      </c>
      <c r="M29" s="49" t="s">
        <v>471</v>
      </c>
      <c r="N29" s="49" t="s">
        <v>480</v>
      </c>
      <c r="O29" s="49">
        <v>8</v>
      </c>
      <c r="P29" s="49" t="s">
        <v>481</v>
      </c>
      <c r="Q29" s="49" t="s">
        <v>434</v>
      </c>
    </row>
  </sheetData>
  <mergeCells count="1">
    <mergeCell ref="F2:F3"/>
  </mergeCells>
  <phoneticPr fontId="1" type="noConversion"/>
  <dataValidations count="1">
    <dataValidation type="list" allowBlank="1" showInputMessage="1" showErrorMessage="1" sqref="B4" xr:uid="{00000000-0002-0000-0100-000000000000}">
      <formula1>$K$3:$K$29</formula1>
    </dataValidation>
  </dataValidations>
  <pageMargins left="0.70866141732283472" right="0.70866141732283472" top="0.74803149606299213" bottom="0.74803149606299213" header="0.31496062992125984" footer="0.31496062992125984"/>
  <pageSetup paperSize="9" scale="9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FillExam_FromSetting_Random">
                <anchor moveWithCells="1" sizeWithCells="1">
                  <from>
                    <xdr:col>6</xdr:col>
                    <xdr:colOff>200025</xdr:colOff>
                    <xdr:row>1</xdr:row>
                    <xdr:rowOff>123825</xdr:rowOff>
                  </from>
                  <to>
                    <xdr:col>8</xdr:col>
                    <xdr:colOff>609600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FFFF00"/>
  </sheetPr>
  <dimension ref="B1:L55"/>
  <sheetViews>
    <sheetView showGridLines="0" view="pageBreakPreview" zoomScale="40" zoomScaleNormal="85" zoomScaleSheetLayoutView="40" workbookViewId="0">
      <selection activeCell="O32" sqref="O32"/>
    </sheetView>
  </sheetViews>
  <sheetFormatPr defaultRowHeight="16.5" x14ac:dyDescent="0.3"/>
  <cols>
    <col min="1" max="1" width="5" style="2" customWidth="1"/>
    <col min="2" max="2" width="18.75" style="2" customWidth="1"/>
    <col min="3" max="3" width="32.5" style="2" customWidth="1"/>
    <col min="4" max="6" width="33.75" style="2" customWidth="1"/>
    <col min="7" max="7" width="25.25" style="2" customWidth="1"/>
    <col min="8" max="8" width="4.25" style="2" customWidth="1"/>
    <col min="9" max="11" width="17.625" style="2" customWidth="1"/>
    <col min="12" max="12" width="9.25" style="2" bestFit="1" customWidth="1"/>
    <col min="13" max="21" width="9" style="2"/>
    <col min="22" max="22" width="9" style="2" customWidth="1"/>
    <col min="23" max="16384" width="9" style="2"/>
  </cols>
  <sheetData>
    <row r="1" spans="2:12" ht="17.25" thickBot="1" x14ac:dyDescent="0.35"/>
    <row r="2" spans="2:12" ht="43.5" customHeight="1" x14ac:dyDescent="0.3">
      <c r="B2" s="16" t="s">
        <v>37</v>
      </c>
      <c r="C2" s="18" t="str">
        <f>IFERROR(INDEX('시험 SETTING'!L:L, MATCH('시험 SETTING'!B4, '시험 SETTING'!K:K, 0)), "")</f>
        <v/>
      </c>
      <c r="D2" s="104" t="s">
        <v>26</v>
      </c>
      <c r="E2" s="104"/>
      <c r="F2" s="104"/>
      <c r="G2" s="104"/>
      <c r="I2" s="24" t="s">
        <v>27</v>
      </c>
      <c r="J2" s="17" t="s">
        <v>42</v>
      </c>
      <c r="K2" s="18" t="s">
        <v>29</v>
      </c>
      <c r="L2" s="35"/>
    </row>
    <row r="3" spans="2:12" ht="87" customHeight="1" x14ac:dyDescent="0.3">
      <c r="B3" s="19" t="s">
        <v>39</v>
      </c>
      <c r="C3" s="20" t="str">
        <f>IFERROR(INDEX('시험 SETTING'!M:M, MATCH('시험 SETTING'!B4, '시험 SETTING'!K:K, 0)), "")</f>
        <v/>
      </c>
      <c r="D3" s="104"/>
      <c r="E3" s="104"/>
      <c r="F3" s="104"/>
      <c r="G3" s="104"/>
      <c r="I3" s="19"/>
      <c r="J3" s="14"/>
      <c r="K3" s="20"/>
    </row>
    <row r="4" spans="2:12" ht="43.5" customHeight="1" thickBot="1" x14ac:dyDescent="0.35">
      <c r="B4" s="21" t="s">
        <v>40</v>
      </c>
      <c r="C4" s="23"/>
      <c r="D4" s="104"/>
      <c r="E4" s="104"/>
      <c r="F4" s="104"/>
      <c r="G4" s="104"/>
      <c r="I4" s="21" t="s">
        <v>28</v>
      </c>
      <c r="J4" s="22" t="s">
        <v>28</v>
      </c>
      <c r="K4" s="23" t="s">
        <v>28</v>
      </c>
    </row>
    <row r="5" spans="2:12" s="1" customFormat="1" ht="24.95" customHeight="1" thickBot="1" x14ac:dyDescent="0.35"/>
    <row r="6" spans="2:12" ht="43.5" customHeight="1" x14ac:dyDescent="0.3">
      <c r="B6" s="105" t="s">
        <v>34</v>
      </c>
      <c r="C6" s="106"/>
      <c r="D6" s="107" t="str">
        <f>IFERROR(INDEX('시험 SETTING'!N:N, MATCH('시험 SETTING'!B4, '시험 SETTING'!K:K, 0)), "")</f>
        <v>신입평가</v>
      </c>
      <c r="E6" s="107"/>
      <c r="F6" s="107"/>
      <c r="G6" s="17" t="s">
        <v>33</v>
      </c>
      <c r="H6" s="108"/>
      <c r="I6" s="109"/>
      <c r="J6" s="109"/>
      <c r="K6" s="110"/>
    </row>
    <row r="7" spans="2:12" ht="43.5" customHeight="1" x14ac:dyDescent="0.3">
      <c r="B7" s="111" t="s">
        <v>30</v>
      </c>
      <c r="C7" s="112"/>
      <c r="D7" s="113" t="s">
        <v>43</v>
      </c>
      <c r="E7" s="114"/>
      <c r="F7" s="114"/>
      <c r="G7" s="114"/>
      <c r="H7" s="114"/>
      <c r="I7" s="114"/>
      <c r="J7" s="114"/>
      <c r="K7" s="115"/>
    </row>
    <row r="8" spans="2:12" ht="43.5" customHeight="1" thickBot="1" x14ac:dyDescent="0.35">
      <c r="B8" s="116" t="s">
        <v>31</v>
      </c>
      <c r="C8" s="117"/>
      <c r="D8" s="22">
        <f>IFERROR(INDEX('시험 SETTING'!O:O, MATCH('시험 SETTING'!B4, '시험 SETTING'!K:K, 0)), "")</f>
        <v>0</v>
      </c>
      <c r="E8" s="22" t="s">
        <v>35</v>
      </c>
      <c r="F8" s="22" t="str">
        <f>IFERROR(INDEX('시험 SETTING'!P:P, MATCH('시험 SETTING'!B4, '시험 SETTING'!K:K, 0)), "")</f>
        <v>2024.12.09</v>
      </c>
      <c r="G8" s="22" t="s">
        <v>36</v>
      </c>
      <c r="H8" s="118" t="str">
        <f>IFERROR(INDEX('시험 SETTING'!Q:Q, MATCH('시험 SETTING'!B4, '시험 SETTING'!K:K, 0)), "")</f>
        <v>신입 인증</v>
      </c>
      <c r="I8" s="119"/>
      <c r="J8" s="119"/>
      <c r="K8" s="120"/>
    </row>
    <row r="9" spans="2:12" ht="57" customHeight="1" x14ac:dyDescent="0.3">
      <c r="C9" s="13"/>
      <c r="D9" s="13"/>
      <c r="E9" s="13"/>
      <c r="F9" s="13"/>
      <c r="G9" s="13"/>
      <c r="H9" s="13"/>
      <c r="I9" s="13"/>
      <c r="J9" s="13"/>
      <c r="K9" s="13"/>
    </row>
    <row r="10" spans="2:12" ht="18.75" hidden="1" customHeight="1" x14ac:dyDescent="0.3">
      <c r="B10" s="25" t="s">
        <v>0</v>
      </c>
      <c r="C10" s="121" t="s">
        <v>1</v>
      </c>
      <c r="D10" s="121"/>
      <c r="E10" s="121"/>
      <c r="F10" s="121"/>
      <c r="G10" s="121"/>
      <c r="H10" s="121"/>
      <c r="I10" s="121"/>
      <c r="J10" s="121"/>
      <c r="K10" s="121"/>
      <c r="L10" s="25" t="s">
        <v>19</v>
      </c>
    </row>
    <row r="11" spans="2:12" s="10" customFormat="1" ht="207" customHeight="1" x14ac:dyDescent="0.3">
      <c r="B11" s="11">
        <v>1</v>
      </c>
      <c r="C11" s="122" t="s">
        <v>512</v>
      </c>
      <c r="D11" s="122"/>
      <c r="E11" s="122"/>
      <c r="F11" s="122"/>
      <c r="G11" s="122"/>
      <c r="H11" s="122"/>
      <c r="I11" s="122"/>
      <c r="J11" s="122"/>
      <c r="K11" s="122"/>
      <c r="L11" s="9"/>
    </row>
    <row r="12" spans="2:12" s="10" customFormat="1" ht="207" customHeight="1" x14ac:dyDescent="0.3">
      <c r="B12" s="12">
        <v>2</v>
      </c>
      <c r="C12" s="122" t="s">
        <v>513</v>
      </c>
      <c r="D12" s="122"/>
      <c r="E12" s="122"/>
      <c r="F12" s="122"/>
      <c r="G12" s="122"/>
      <c r="H12" s="122"/>
      <c r="I12" s="122"/>
      <c r="J12" s="122"/>
      <c r="K12" s="122"/>
      <c r="L12" s="9"/>
    </row>
    <row r="13" spans="2:12" s="10" customFormat="1" ht="207" customHeight="1" x14ac:dyDescent="0.3">
      <c r="B13" s="12">
        <v>3</v>
      </c>
      <c r="C13" s="122" t="s">
        <v>518</v>
      </c>
      <c r="D13" s="122"/>
      <c r="E13" s="122"/>
      <c r="F13" s="122"/>
      <c r="G13" s="122"/>
      <c r="H13" s="122"/>
      <c r="I13" s="122"/>
      <c r="J13" s="122"/>
      <c r="K13" s="122"/>
      <c r="L13" s="9"/>
    </row>
    <row r="14" spans="2:12" s="10" customFormat="1" ht="207" customHeight="1" x14ac:dyDescent="0.3">
      <c r="B14" s="12">
        <v>4</v>
      </c>
      <c r="C14" s="122" t="s">
        <v>521</v>
      </c>
      <c r="D14" s="122"/>
      <c r="E14" s="122"/>
      <c r="F14" s="122"/>
      <c r="G14" s="122"/>
      <c r="H14" s="122"/>
      <c r="I14" s="122"/>
      <c r="J14" s="122"/>
      <c r="K14" s="122"/>
      <c r="L14" s="9"/>
    </row>
    <row r="15" spans="2:12" s="10" customFormat="1" ht="207" customHeight="1" x14ac:dyDescent="0.3">
      <c r="B15" s="12">
        <v>5</v>
      </c>
      <c r="C15" s="122" t="s">
        <v>547</v>
      </c>
      <c r="D15" s="122"/>
      <c r="E15" s="122"/>
      <c r="F15" s="122"/>
      <c r="G15" s="122"/>
      <c r="H15" s="122"/>
      <c r="I15" s="122"/>
      <c r="J15" s="122"/>
      <c r="K15" s="122"/>
      <c r="L15" s="9"/>
    </row>
    <row r="16" spans="2:12" s="10" customFormat="1" ht="207" customHeight="1" x14ac:dyDescent="0.3">
      <c r="B16" s="12">
        <v>6</v>
      </c>
      <c r="C16" s="122" t="s">
        <v>523</v>
      </c>
      <c r="D16" s="122"/>
      <c r="E16" s="122"/>
      <c r="F16" s="122"/>
      <c r="G16" s="122"/>
      <c r="H16" s="122"/>
      <c r="I16" s="122"/>
      <c r="J16" s="122"/>
      <c r="K16" s="122"/>
      <c r="L16" s="9"/>
    </row>
    <row r="17" spans="2:12" s="10" customFormat="1" ht="207" customHeight="1" x14ac:dyDescent="0.3">
      <c r="B17" s="12">
        <v>7</v>
      </c>
      <c r="C17" s="122" t="s">
        <v>526</v>
      </c>
      <c r="D17" s="122"/>
      <c r="E17" s="122"/>
      <c r="F17" s="122"/>
      <c r="G17" s="122"/>
      <c r="H17" s="122"/>
      <c r="I17" s="122"/>
      <c r="J17" s="122"/>
      <c r="K17" s="122"/>
      <c r="L17" s="9"/>
    </row>
    <row r="18" spans="2:12" s="10" customFormat="1" ht="207" customHeight="1" x14ac:dyDescent="0.3">
      <c r="B18" s="12">
        <v>8</v>
      </c>
      <c r="C18" s="122" t="s">
        <v>515</v>
      </c>
      <c r="D18" s="122"/>
      <c r="E18" s="122"/>
      <c r="F18" s="122"/>
      <c r="G18" s="122"/>
      <c r="H18" s="122"/>
      <c r="I18" s="122"/>
      <c r="J18" s="122"/>
      <c r="K18" s="122"/>
      <c r="L18" s="9"/>
    </row>
    <row r="19" spans="2:12" s="10" customFormat="1" ht="207" customHeight="1" x14ac:dyDescent="0.3">
      <c r="B19" s="12">
        <v>9</v>
      </c>
      <c r="C19" s="122" t="s">
        <v>532</v>
      </c>
      <c r="D19" s="122"/>
      <c r="E19" s="122"/>
      <c r="F19" s="122"/>
      <c r="G19" s="122"/>
      <c r="H19" s="122"/>
      <c r="I19" s="122"/>
      <c r="J19" s="122"/>
      <c r="K19" s="122"/>
      <c r="L19" s="9"/>
    </row>
    <row r="20" spans="2:12" s="10" customFormat="1" ht="207" customHeight="1" x14ac:dyDescent="0.3">
      <c r="B20" s="12">
        <v>10</v>
      </c>
      <c r="C20" s="122" t="s">
        <v>517</v>
      </c>
      <c r="D20" s="122"/>
      <c r="E20" s="122"/>
      <c r="F20" s="122"/>
      <c r="G20" s="122"/>
      <c r="H20" s="122"/>
      <c r="I20" s="122"/>
      <c r="J20" s="122"/>
      <c r="K20" s="122"/>
      <c r="L20" s="9"/>
    </row>
    <row r="21" spans="2:12" s="10" customFormat="1" ht="207" customHeight="1" x14ac:dyDescent="0.3">
      <c r="B21" s="12">
        <v>11</v>
      </c>
      <c r="C21" s="122" t="s">
        <v>520</v>
      </c>
      <c r="D21" s="122"/>
      <c r="E21" s="122"/>
      <c r="F21" s="122"/>
      <c r="G21" s="122"/>
      <c r="H21" s="122"/>
      <c r="I21" s="122"/>
      <c r="J21" s="122"/>
      <c r="K21" s="122"/>
      <c r="L21" s="9"/>
    </row>
    <row r="22" spans="2:12" s="10" customFormat="1" ht="207" customHeight="1" x14ac:dyDescent="0.3">
      <c r="B22" s="12">
        <v>12</v>
      </c>
      <c r="C22" s="122" t="s">
        <v>527</v>
      </c>
      <c r="D22" s="122"/>
      <c r="E22" s="122"/>
      <c r="F22" s="122"/>
      <c r="G22" s="122"/>
      <c r="H22" s="122"/>
      <c r="I22" s="122"/>
      <c r="J22" s="122"/>
      <c r="K22" s="122"/>
      <c r="L22" s="9"/>
    </row>
    <row r="23" spans="2:12" s="10" customFormat="1" ht="207" customHeight="1" x14ac:dyDescent="0.3">
      <c r="B23" s="12">
        <v>13</v>
      </c>
      <c r="C23" s="122" t="s">
        <v>524</v>
      </c>
      <c r="D23" s="122"/>
      <c r="E23" s="122"/>
      <c r="F23" s="122"/>
      <c r="G23" s="122"/>
      <c r="H23" s="122"/>
      <c r="I23" s="122"/>
      <c r="J23" s="122"/>
      <c r="K23" s="122"/>
      <c r="L23" s="9"/>
    </row>
    <row r="24" spans="2:12" s="10" customFormat="1" ht="207" customHeight="1" x14ac:dyDescent="0.3">
      <c r="B24" s="12">
        <v>14</v>
      </c>
      <c r="C24" s="122" t="s">
        <v>546</v>
      </c>
      <c r="D24" s="122"/>
      <c r="E24" s="122"/>
      <c r="F24" s="122"/>
      <c r="G24" s="122"/>
      <c r="H24" s="122"/>
      <c r="I24" s="122"/>
      <c r="J24" s="122"/>
      <c r="K24" s="122"/>
      <c r="L24" s="9"/>
    </row>
    <row r="25" spans="2:12" s="10" customFormat="1" ht="207" customHeight="1" x14ac:dyDescent="0.3">
      <c r="B25" s="12">
        <v>15</v>
      </c>
      <c r="C25" s="122" t="s">
        <v>516</v>
      </c>
      <c r="D25" s="122"/>
      <c r="E25" s="122"/>
      <c r="F25" s="122"/>
      <c r="G25" s="122"/>
      <c r="H25" s="122"/>
      <c r="I25" s="122"/>
      <c r="J25" s="122"/>
      <c r="K25" s="122"/>
      <c r="L25" s="9"/>
    </row>
    <row r="26" spans="2:12" s="10" customFormat="1" ht="207" customHeight="1" x14ac:dyDescent="0.3">
      <c r="B26" s="12">
        <v>16</v>
      </c>
      <c r="C26" s="122" t="s">
        <v>529</v>
      </c>
      <c r="D26" s="122"/>
      <c r="E26" s="122"/>
      <c r="F26" s="122"/>
      <c r="G26" s="122"/>
      <c r="H26" s="122"/>
      <c r="I26" s="122"/>
      <c r="J26" s="122"/>
      <c r="K26" s="122"/>
      <c r="L26" s="9"/>
    </row>
    <row r="27" spans="2:12" s="10" customFormat="1" ht="207" customHeight="1" x14ac:dyDescent="0.3">
      <c r="B27" s="12">
        <v>17</v>
      </c>
      <c r="C27" s="122" t="s">
        <v>528</v>
      </c>
      <c r="D27" s="122"/>
      <c r="E27" s="122"/>
      <c r="F27" s="122"/>
      <c r="G27" s="122"/>
      <c r="H27" s="122"/>
      <c r="I27" s="122"/>
      <c r="J27" s="122"/>
      <c r="K27" s="122"/>
      <c r="L27" s="9"/>
    </row>
    <row r="28" spans="2:12" s="10" customFormat="1" ht="207" customHeight="1" x14ac:dyDescent="0.3">
      <c r="B28" s="12">
        <v>18</v>
      </c>
      <c r="C28" s="122" t="s">
        <v>531</v>
      </c>
      <c r="D28" s="122"/>
      <c r="E28" s="122"/>
      <c r="F28" s="122"/>
      <c r="G28" s="122"/>
      <c r="H28" s="122"/>
      <c r="I28" s="122"/>
      <c r="J28" s="122"/>
      <c r="K28" s="122"/>
      <c r="L28" s="9"/>
    </row>
    <row r="29" spans="2:12" s="10" customFormat="1" ht="207" customHeight="1" x14ac:dyDescent="0.3">
      <c r="B29" s="12">
        <v>19</v>
      </c>
      <c r="C29" s="122" t="s">
        <v>530</v>
      </c>
      <c r="D29" s="122"/>
      <c r="E29" s="122"/>
      <c r="F29" s="122"/>
      <c r="G29" s="122"/>
      <c r="H29" s="122"/>
      <c r="I29" s="122"/>
      <c r="J29" s="122"/>
      <c r="K29" s="122"/>
      <c r="L29" s="9"/>
    </row>
    <row r="30" spans="2:12" s="10" customFormat="1" ht="207" customHeight="1" x14ac:dyDescent="0.3">
      <c r="B30" s="12">
        <v>20</v>
      </c>
      <c r="C30" s="122" t="s">
        <v>525</v>
      </c>
      <c r="D30" s="122"/>
      <c r="E30" s="122"/>
      <c r="F30" s="122"/>
      <c r="G30" s="122"/>
      <c r="H30" s="122"/>
      <c r="I30" s="122"/>
      <c r="J30" s="122"/>
      <c r="K30" s="122"/>
      <c r="L30" s="9"/>
    </row>
    <row r="31" spans="2:12" s="10" customFormat="1" ht="207" customHeight="1" x14ac:dyDescent="0.3">
      <c r="B31" s="12">
        <v>21</v>
      </c>
      <c r="C31" s="122" t="s">
        <v>514</v>
      </c>
      <c r="D31" s="123"/>
      <c r="E31" s="123"/>
      <c r="F31" s="123"/>
      <c r="G31" s="123"/>
      <c r="H31" s="123"/>
      <c r="I31" s="123"/>
      <c r="J31" s="123"/>
      <c r="K31" s="123"/>
      <c r="L31" s="9"/>
    </row>
    <row r="32" spans="2:12" s="10" customFormat="1" ht="207" customHeight="1" x14ac:dyDescent="0.3">
      <c r="B32" s="12">
        <v>22</v>
      </c>
      <c r="C32" s="122" t="s">
        <v>522</v>
      </c>
      <c r="D32" s="123"/>
      <c r="E32" s="123"/>
      <c r="F32" s="123"/>
      <c r="G32" s="123"/>
      <c r="H32" s="123"/>
      <c r="I32" s="123"/>
      <c r="J32" s="123"/>
      <c r="K32" s="123"/>
      <c r="L32" s="9"/>
    </row>
    <row r="33" spans="2:12" s="10" customFormat="1" ht="207" customHeight="1" x14ac:dyDescent="0.3">
      <c r="B33" s="12">
        <v>23</v>
      </c>
      <c r="C33" s="122" t="s">
        <v>9</v>
      </c>
      <c r="D33" s="122"/>
      <c r="E33" s="122"/>
      <c r="F33" s="122"/>
      <c r="G33" s="122"/>
      <c r="H33" s="122"/>
      <c r="I33" s="122"/>
      <c r="J33" s="122"/>
      <c r="K33" s="122"/>
      <c r="L33" s="9"/>
    </row>
    <row r="34" spans="2:12" s="10" customFormat="1" ht="207" customHeight="1" x14ac:dyDescent="0.3">
      <c r="B34" s="12">
        <v>24</v>
      </c>
      <c r="C34" s="122" t="s">
        <v>6</v>
      </c>
      <c r="D34" s="122"/>
      <c r="E34" s="122"/>
      <c r="F34" s="122"/>
      <c r="G34" s="122"/>
      <c r="H34" s="122"/>
      <c r="I34" s="122"/>
      <c r="J34" s="122"/>
      <c r="K34" s="122"/>
      <c r="L34" s="9"/>
    </row>
    <row r="35" spans="2:12" s="10" customFormat="1" ht="207" customHeight="1" x14ac:dyDescent="0.3">
      <c r="B35" s="12">
        <v>25</v>
      </c>
      <c r="C35" s="122" t="s">
        <v>549</v>
      </c>
      <c r="D35" s="122"/>
      <c r="E35" s="122"/>
      <c r="F35" s="122"/>
      <c r="G35" s="122"/>
      <c r="H35" s="122"/>
      <c r="I35" s="122"/>
      <c r="J35" s="122"/>
      <c r="K35" s="122"/>
      <c r="L35" s="9"/>
    </row>
    <row r="36" spans="2:12" s="10" customFormat="1" ht="207" customHeight="1" x14ac:dyDescent="0.3">
      <c r="B36" s="12"/>
      <c r="C36" s="122"/>
      <c r="D36" s="122"/>
      <c r="E36" s="122"/>
      <c r="F36" s="122"/>
      <c r="G36" s="122"/>
      <c r="H36" s="122"/>
      <c r="I36" s="122"/>
      <c r="J36" s="122"/>
      <c r="K36" s="122"/>
      <c r="L36" s="9"/>
    </row>
    <row r="37" spans="2:12" s="10" customFormat="1" ht="207" customHeight="1" x14ac:dyDescent="0.3">
      <c r="B37" s="12"/>
      <c r="C37" s="122"/>
      <c r="D37" s="122"/>
      <c r="E37" s="122"/>
      <c r="F37" s="122"/>
      <c r="G37" s="122"/>
      <c r="H37" s="122"/>
      <c r="I37" s="122"/>
      <c r="J37" s="122"/>
      <c r="K37" s="122"/>
      <c r="L37" s="9"/>
    </row>
    <row r="38" spans="2:12" s="10" customFormat="1" ht="207" customHeight="1" x14ac:dyDescent="0.3">
      <c r="B38" s="12"/>
      <c r="C38" s="122"/>
      <c r="D38" s="122"/>
      <c r="E38" s="122"/>
      <c r="F38" s="122"/>
      <c r="G38" s="122"/>
      <c r="H38" s="122"/>
      <c r="I38" s="122"/>
      <c r="J38" s="122"/>
      <c r="K38" s="122"/>
      <c r="L38" s="9"/>
    </row>
    <row r="39" spans="2:12" s="10" customFormat="1" ht="207" hidden="1" customHeight="1" x14ac:dyDescent="0.3">
      <c r="B39" s="12">
        <v>29</v>
      </c>
      <c r="C39" s="122"/>
      <c r="D39" s="122"/>
      <c r="E39" s="122"/>
      <c r="F39" s="122"/>
      <c r="G39" s="122"/>
      <c r="H39" s="122"/>
      <c r="I39" s="122"/>
      <c r="J39" s="122"/>
      <c r="K39" s="122"/>
      <c r="L39" s="9"/>
    </row>
    <row r="40" spans="2:12" s="10" customFormat="1" ht="207" hidden="1" customHeight="1" x14ac:dyDescent="0.3">
      <c r="B40" s="12">
        <v>30</v>
      </c>
      <c r="C40" s="122"/>
      <c r="D40" s="122"/>
      <c r="E40" s="122"/>
      <c r="F40" s="122"/>
      <c r="G40" s="122"/>
      <c r="H40" s="122"/>
      <c r="I40" s="122"/>
      <c r="J40" s="122"/>
      <c r="K40" s="122"/>
      <c r="L40" s="9"/>
    </row>
    <row r="41" spans="2:12" s="10" customFormat="1" ht="207" hidden="1" customHeight="1" x14ac:dyDescent="0.3">
      <c r="B41" s="12">
        <v>31</v>
      </c>
      <c r="C41" s="122"/>
      <c r="D41" s="122"/>
      <c r="E41" s="122"/>
      <c r="F41" s="122"/>
      <c r="G41" s="122"/>
      <c r="H41" s="122"/>
      <c r="I41" s="122"/>
      <c r="J41" s="122"/>
      <c r="K41" s="122"/>
      <c r="L41" s="9"/>
    </row>
    <row r="42" spans="2:12" s="10" customFormat="1" ht="207" hidden="1" customHeight="1" x14ac:dyDescent="0.3">
      <c r="B42" s="12">
        <v>32</v>
      </c>
      <c r="C42" s="122"/>
      <c r="D42" s="122"/>
      <c r="E42" s="122"/>
      <c r="F42" s="122"/>
      <c r="G42" s="122"/>
      <c r="H42" s="122"/>
      <c r="I42" s="122"/>
      <c r="J42" s="122"/>
      <c r="K42" s="122"/>
      <c r="L42" s="9"/>
    </row>
    <row r="43" spans="2:12" s="10" customFormat="1" ht="207" hidden="1" customHeight="1" x14ac:dyDescent="0.3">
      <c r="B43" s="12">
        <v>33</v>
      </c>
      <c r="C43" s="122"/>
      <c r="D43" s="122"/>
      <c r="E43" s="122"/>
      <c r="F43" s="122"/>
      <c r="G43" s="122"/>
      <c r="H43" s="122"/>
      <c r="I43" s="122"/>
      <c r="J43" s="122"/>
      <c r="K43" s="122"/>
      <c r="L43" s="9"/>
    </row>
    <row r="44" spans="2:12" s="10" customFormat="1" ht="207" hidden="1" customHeight="1" x14ac:dyDescent="0.3">
      <c r="B44" s="12">
        <v>34</v>
      </c>
      <c r="C44" s="122"/>
      <c r="D44" s="122"/>
      <c r="E44" s="122"/>
      <c r="F44" s="122"/>
      <c r="G44" s="122"/>
      <c r="H44" s="122"/>
      <c r="I44" s="122"/>
      <c r="J44" s="122"/>
      <c r="K44" s="122"/>
      <c r="L44" s="9"/>
    </row>
    <row r="45" spans="2:12" s="10" customFormat="1" ht="207" hidden="1" customHeight="1" x14ac:dyDescent="0.3">
      <c r="B45" s="12">
        <v>35</v>
      </c>
      <c r="C45" s="122"/>
      <c r="D45" s="122"/>
      <c r="E45" s="122"/>
      <c r="F45" s="122"/>
      <c r="G45" s="122"/>
      <c r="H45" s="122"/>
      <c r="I45" s="122"/>
      <c r="J45" s="122"/>
      <c r="K45" s="122"/>
      <c r="L45" s="9"/>
    </row>
    <row r="46" spans="2:12" s="10" customFormat="1" ht="207" hidden="1" customHeight="1" x14ac:dyDescent="0.3">
      <c r="B46" s="12">
        <v>36</v>
      </c>
      <c r="C46" s="122"/>
      <c r="D46" s="122"/>
      <c r="E46" s="122"/>
      <c r="F46" s="122"/>
      <c r="G46" s="122"/>
      <c r="H46" s="122"/>
      <c r="I46" s="122"/>
      <c r="J46" s="122"/>
      <c r="K46" s="122"/>
      <c r="L46" s="9"/>
    </row>
    <row r="47" spans="2:12" s="10" customFormat="1" ht="207" hidden="1" customHeight="1" x14ac:dyDescent="0.3">
      <c r="B47" s="12">
        <v>37</v>
      </c>
      <c r="C47" s="122"/>
      <c r="D47" s="122"/>
      <c r="E47" s="122"/>
      <c r="F47" s="122"/>
      <c r="G47" s="122"/>
      <c r="H47" s="122"/>
      <c r="I47" s="122"/>
      <c r="J47" s="122"/>
      <c r="K47" s="122"/>
      <c r="L47" s="9"/>
    </row>
    <row r="48" spans="2:12" s="10" customFormat="1" ht="207" hidden="1" customHeight="1" x14ac:dyDescent="0.3">
      <c r="B48" s="12">
        <v>38</v>
      </c>
      <c r="C48" s="122"/>
      <c r="D48" s="122"/>
      <c r="E48" s="122"/>
      <c r="F48" s="122"/>
      <c r="G48" s="122"/>
      <c r="H48" s="122"/>
      <c r="I48" s="122"/>
      <c r="J48" s="122"/>
      <c r="K48" s="122"/>
      <c r="L48" s="9"/>
    </row>
    <row r="49" spans="2:12" s="10" customFormat="1" ht="207" hidden="1" customHeight="1" x14ac:dyDescent="0.3">
      <c r="B49" s="12">
        <v>39</v>
      </c>
      <c r="C49" s="122"/>
      <c r="D49" s="122"/>
      <c r="E49" s="122"/>
      <c r="F49" s="122"/>
      <c r="G49" s="122"/>
      <c r="H49" s="122"/>
      <c r="I49" s="122"/>
      <c r="J49" s="122"/>
      <c r="K49" s="122"/>
      <c r="L49" s="9"/>
    </row>
    <row r="50" spans="2:12" s="10" customFormat="1" ht="207" hidden="1" customHeight="1" x14ac:dyDescent="0.3">
      <c r="B50" s="12">
        <v>40</v>
      </c>
      <c r="C50" s="122"/>
      <c r="D50" s="122"/>
      <c r="E50" s="122"/>
      <c r="F50" s="122"/>
      <c r="G50" s="122"/>
      <c r="H50" s="122"/>
      <c r="I50" s="122"/>
      <c r="J50" s="122"/>
      <c r="K50" s="122"/>
      <c r="L50" s="9"/>
    </row>
    <row r="51" spans="2:12" s="10" customFormat="1" ht="207" hidden="1" customHeight="1" x14ac:dyDescent="0.3">
      <c r="B51" s="12">
        <v>41</v>
      </c>
      <c r="C51" s="124"/>
      <c r="D51" s="124"/>
      <c r="E51" s="124"/>
      <c r="F51" s="124"/>
      <c r="G51" s="124"/>
      <c r="H51" s="124"/>
      <c r="I51" s="124"/>
      <c r="J51" s="124"/>
      <c r="K51" s="124"/>
      <c r="L51" s="9"/>
    </row>
    <row r="52" spans="2:12" s="10" customFormat="1" ht="207" hidden="1" customHeight="1" x14ac:dyDescent="0.3">
      <c r="B52" s="12">
        <v>42</v>
      </c>
      <c r="C52" s="122"/>
      <c r="D52" s="122"/>
      <c r="E52" s="122"/>
      <c r="F52" s="122"/>
      <c r="G52" s="122"/>
      <c r="H52" s="122"/>
      <c r="I52" s="122"/>
      <c r="J52" s="122"/>
      <c r="K52" s="122"/>
      <c r="L52" s="9"/>
    </row>
    <row r="53" spans="2:12" s="10" customFormat="1" ht="207" hidden="1" customHeight="1" x14ac:dyDescent="0.3">
      <c r="B53" s="12">
        <v>43</v>
      </c>
      <c r="C53" s="122"/>
      <c r="D53" s="122"/>
      <c r="E53" s="122"/>
      <c r="F53" s="122"/>
      <c r="G53" s="122"/>
      <c r="H53" s="122"/>
      <c r="I53" s="122"/>
      <c r="J53" s="122"/>
      <c r="K53" s="122"/>
      <c r="L53" s="9"/>
    </row>
    <row r="54" spans="2:12" s="10" customFormat="1" ht="207" hidden="1" customHeight="1" x14ac:dyDescent="0.3">
      <c r="B54" s="12">
        <v>44</v>
      </c>
      <c r="C54" s="124"/>
      <c r="D54" s="124"/>
      <c r="E54" s="124"/>
      <c r="F54" s="124"/>
      <c r="G54" s="124"/>
      <c r="H54" s="124"/>
      <c r="I54" s="124"/>
      <c r="J54" s="124"/>
      <c r="K54" s="124"/>
      <c r="L54" s="9"/>
    </row>
    <row r="55" spans="2:12" s="10" customFormat="1" ht="207" hidden="1" customHeight="1" x14ac:dyDescent="0.3">
      <c r="B55" s="12">
        <v>45</v>
      </c>
      <c r="C55" s="122"/>
      <c r="D55" s="122"/>
      <c r="E55" s="122"/>
      <c r="F55" s="122"/>
      <c r="G55" s="122"/>
      <c r="H55" s="122"/>
      <c r="I55" s="122"/>
      <c r="J55" s="122"/>
      <c r="K55" s="122"/>
      <c r="L55" s="9"/>
    </row>
  </sheetData>
  <mergeCells count="54">
    <mergeCell ref="C55:K55"/>
    <mergeCell ref="C49:K49"/>
    <mergeCell ref="C50:K50"/>
    <mergeCell ref="C51:K51"/>
    <mergeCell ref="C52:K52"/>
    <mergeCell ref="C53:K53"/>
    <mergeCell ref="C54:K54"/>
    <mergeCell ref="C48:K48"/>
    <mergeCell ref="C37:K37"/>
    <mergeCell ref="C38:K38"/>
    <mergeCell ref="C39:K39"/>
    <mergeCell ref="C40:K40"/>
    <mergeCell ref="C41:K41"/>
    <mergeCell ref="C42:K42"/>
    <mergeCell ref="C43:K43"/>
    <mergeCell ref="C44:K44"/>
    <mergeCell ref="C45:K45"/>
    <mergeCell ref="C46:K46"/>
    <mergeCell ref="C47:K47"/>
    <mergeCell ref="C36:K36"/>
    <mergeCell ref="C25:K25"/>
    <mergeCell ref="C26:K26"/>
    <mergeCell ref="C27:K27"/>
    <mergeCell ref="C28:K28"/>
    <mergeCell ref="C29:K29"/>
    <mergeCell ref="C30:K30"/>
    <mergeCell ref="C31:K31"/>
    <mergeCell ref="C32:K32"/>
    <mergeCell ref="C33:K33"/>
    <mergeCell ref="C34:K34"/>
    <mergeCell ref="C35:K35"/>
    <mergeCell ref="C24:K24"/>
    <mergeCell ref="C13:K13"/>
    <mergeCell ref="C14:K14"/>
    <mergeCell ref="C15:K15"/>
    <mergeCell ref="C16:K16"/>
    <mergeCell ref="C17:K17"/>
    <mergeCell ref="C18:K18"/>
    <mergeCell ref="C19:K19"/>
    <mergeCell ref="C20:K20"/>
    <mergeCell ref="C21:K21"/>
    <mergeCell ref="C22:K22"/>
    <mergeCell ref="C23:K23"/>
    <mergeCell ref="B8:C8"/>
    <mergeCell ref="H8:K8"/>
    <mergeCell ref="C10:K10"/>
    <mergeCell ref="C11:K11"/>
    <mergeCell ref="C12:K12"/>
    <mergeCell ref="D2:G4"/>
    <mergeCell ref="B6:C6"/>
    <mergeCell ref="D6:F6"/>
    <mergeCell ref="H6:K6"/>
    <mergeCell ref="B7:C7"/>
    <mergeCell ref="D7:K7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34" fitToWidth="4" fitToHeight="4" orientation="portrait" r:id="rId1"/>
  <rowBreaks count="3" manualBreakCount="3">
    <brk id="18" min="1" max="14" man="1"/>
    <brk id="28" min="1" max="14" man="1"/>
    <brk id="38" min="1" max="14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tabColor rgb="FFFFFF00"/>
    <pageSetUpPr fitToPage="1"/>
  </sheetPr>
  <dimension ref="B1:F27"/>
  <sheetViews>
    <sheetView showGridLines="0" zoomScale="85" zoomScaleNormal="85" zoomScaleSheetLayoutView="40" workbookViewId="0">
      <selection activeCell="F33" sqref="F33:N33"/>
    </sheetView>
  </sheetViews>
  <sheetFormatPr defaultRowHeight="20.25" x14ac:dyDescent="0.3"/>
  <cols>
    <col min="1" max="1" width="9" style="45"/>
    <col min="2" max="2" width="17.625" style="45" customWidth="1"/>
    <col min="3" max="3" width="94.375" style="46" customWidth="1"/>
    <col min="4" max="4" width="9" style="45"/>
    <col min="5" max="5" width="17.625" style="45" customWidth="1"/>
    <col min="6" max="6" width="94.375" style="46" customWidth="1"/>
    <col min="7" max="16384" width="9" style="45"/>
  </cols>
  <sheetData>
    <row r="1" spans="2:6" ht="55.5" customHeight="1" x14ac:dyDescent="0.3">
      <c r="B1" s="53" t="str">
        <f>'시험 SETTING'!B4</f>
        <v>신입용 (공통)</v>
      </c>
    </row>
    <row r="2" spans="2:6" ht="30" customHeight="1" x14ac:dyDescent="0.3">
      <c r="B2" s="47" t="s">
        <v>47</v>
      </c>
      <c r="C2" s="47" t="s">
        <v>46</v>
      </c>
      <c r="E2" s="47" t="s">
        <v>47</v>
      </c>
      <c r="F2" s="47" t="s">
        <v>46</v>
      </c>
    </row>
    <row r="3" spans="2:6" ht="42.75" customHeight="1" x14ac:dyDescent="0.3">
      <c r="B3" s="15">
        <v>1</v>
      </c>
      <c r="C3" s="48">
        <v>2</v>
      </c>
      <c r="E3" s="15">
        <v>26</v>
      </c>
      <c r="F3" s="48"/>
    </row>
    <row r="4" spans="2:6" ht="42.75" customHeight="1" x14ac:dyDescent="0.3">
      <c r="B4" s="15">
        <v>2</v>
      </c>
      <c r="C4" s="48">
        <v>4</v>
      </c>
      <c r="E4" s="15">
        <v>27</v>
      </c>
      <c r="F4" s="48"/>
    </row>
    <row r="5" spans="2:6" ht="42.75" customHeight="1" x14ac:dyDescent="0.3">
      <c r="B5" s="15">
        <v>3</v>
      </c>
      <c r="C5" s="48" t="s">
        <v>519</v>
      </c>
      <c r="E5" s="15">
        <v>28</v>
      </c>
      <c r="F5" s="48"/>
    </row>
    <row r="6" spans="2:6" ht="42.75" customHeight="1" x14ac:dyDescent="0.3">
      <c r="B6" s="15">
        <v>4</v>
      </c>
      <c r="C6" s="48">
        <v>2</v>
      </c>
      <c r="E6" s="15">
        <v>29</v>
      </c>
      <c r="F6" s="48"/>
    </row>
    <row r="7" spans="2:6" ht="42.75" customHeight="1" x14ac:dyDescent="0.3">
      <c r="B7" s="15">
        <v>5</v>
      </c>
      <c r="C7" s="48">
        <v>3</v>
      </c>
      <c r="E7" s="15">
        <v>30</v>
      </c>
      <c r="F7" s="48"/>
    </row>
    <row r="8" spans="2:6" ht="42.75" customHeight="1" x14ac:dyDescent="0.3">
      <c r="B8" s="15">
        <v>6</v>
      </c>
      <c r="C8" s="48">
        <v>3</v>
      </c>
      <c r="E8" s="15">
        <v>31</v>
      </c>
      <c r="F8" s="48"/>
    </row>
    <row r="9" spans="2:6" ht="42.75" customHeight="1" x14ac:dyDescent="0.3">
      <c r="B9" s="15">
        <v>7</v>
      </c>
      <c r="C9" s="48">
        <v>4</v>
      </c>
      <c r="E9" s="15">
        <v>32</v>
      </c>
      <c r="F9" s="48"/>
    </row>
    <row r="10" spans="2:6" ht="42.75" customHeight="1" x14ac:dyDescent="0.3">
      <c r="B10" s="15">
        <v>8</v>
      </c>
      <c r="C10" s="48">
        <v>3</v>
      </c>
      <c r="E10" s="15">
        <v>33</v>
      </c>
      <c r="F10" s="48"/>
    </row>
    <row r="11" spans="2:6" ht="42.75" customHeight="1" x14ac:dyDescent="0.3">
      <c r="B11" s="15">
        <v>9</v>
      </c>
      <c r="C11" s="48">
        <v>1</v>
      </c>
      <c r="E11" s="15">
        <v>34</v>
      </c>
      <c r="F11" s="48"/>
    </row>
    <row r="12" spans="2:6" ht="42.75" customHeight="1" x14ac:dyDescent="0.3">
      <c r="B12" s="15">
        <v>10</v>
      </c>
      <c r="C12" s="48">
        <v>1</v>
      </c>
      <c r="E12" s="15">
        <v>35</v>
      </c>
      <c r="F12" s="48"/>
    </row>
    <row r="13" spans="2:6" ht="42.75" customHeight="1" x14ac:dyDescent="0.3">
      <c r="B13" s="15">
        <v>11</v>
      </c>
      <c r="C13" s="48">
        <v>1</v>
      </c>
      <c r="E13" s="15">
        <v>36</v>
      </c>
      <c r="F13" s="48"/>
    </row>
    <row r="14" spans="2:6" ht="42.75" customHeight="1" x14ac:dyDescent="0.3">
      <c r="B14" s="15">
        <v>12</v>
      </c>
      <c r="C14" s="48">
        <v>2</v>
      </c>
      <c r="E14" s="15">
        <v>37</v>
      </c>
      <c r="F14" s="48"/>
    </row>
    <row r="15" spans="2:6" ht="42.75" customHeight="1" x14ac:dyDescent="0.3">
      <c r="B15" s="15">
        <v>13</v>
      </c>
      <c r="C15" s="48">
        <v>4</v>
      </c>
      <c r="E15" s="15">
        <v>38</v>
      </c>
      <c r="F15" s="48"/>
    </row>
    <row r="16" spans="2:6" ht="42.75" customHeight="1" x14ac:dyDescent="0.3">
      <c r="B16" s="15">
        <v>14</v>
      </c>
      <c r="C16" s="48">
        <v>1</v>
      </c>
      <c r="E16" s="15">
        <v>39</v>
      </c>
      <c r="F16" s="48"/>
    </row>
    <row r="17" spans="2:6" ht="42.75" customHeight="1" x14ac:dyDescent="0.3">
      <c r="B17" s="15">
        <v>15</v>
      </c>
      <c r="C17" s="48">
        <v>3</v>
      </c>
      <c r="E17" s="15">
        <v>40</v>
      </c>
      <c r="F17" s="48"/>
    </row>
    <row r="18" spans="2:6" ht="42.75" customHeight="1" x14ac:dyDescent="0.3">
      <c r="B18" s="15">
        <v>16</v>
      </c>
      <c r="C18" s="48">
        <v>2</v>
      </c>
      <c r="E18" s="15">
        <v>41</v>
      </c>
      <c r="F18" s="48"/>
    </row>
    <row r="19" spans="2:6" ht="42.75" customHeight="1" x14ac:dyDescent="0.3">
      <c r="B19" s="15">
        <v>17</v>
      </c>
      <c r="C19" s="48">
        <v>1</v>
      </c>
      <c r="E19" s="15">
        <v>42</v>
      </c>
      <c r="F19" s="48"/>
    </row>
    <row r="20" spans="2:6" ht="42.75" customHeight="1" x14ac:dyDescent="0.3">
      <c r="B20" s="15">
        <v>18</v>
      </c>
      <c r="C20" s="48">
        <v>1</v>
      </c>
      <c r="E20" s="15">
        <v>43</v>
      </c>
      <c r="F20" s="48"/>
    </row>
    <row r="21" spans="2:6" ht="42.75" customHeight="1" x14ac:dyDescent="0.3">
      <c r="B21" s="15">
        <v>19</v>
      </c>
      <c r="C21" s="48">
        <v>4</v>
      </c>
      <c r="E21" s="15">
        <v>44</v>
      </c>
      <c r="F21" s="48"/>
    </row>
    <row r="22" spans="2:6" ht="42.75" customHeight="1" x14ac:dyDescent="0.3">
      <c r="B22" s="15">
        <v>20</v>
      </c>
      <c r="C22" s="48">
        <v>1</v>
      </c>
      <c r="E22" s="15">
        <v>45</v>
      </c>
      <c r="F22" s="48"/>
    </row>
    <row r="23" spans="2:6" ht="42.75" customHeight="1" x14ac:dyDescent="0.3">
      <c r="B23" s="15">
        <v>21</v>
      </c>
      <c r="C23" s="48">
        <v>4</v>
      </c>
      <c r="E23" s="15">
        <v>46</v>
      </c>
      <c r="F23" s="48"/>
    </row>
    <row r="24" spans="2:6" ht="42.75" customHeight="1" x14ac:dyDescent="0.3">
      <c r="B24" s="15">
        <v>22</v>
      </c>
      <c r="C24" s="48">
        <v>3</v>
      </c>
      <c r="E24" s="15">
        <v>47</v>
      </c>
      <c r="F24" s="48"/>
    </row>
    <row r="25" spans="2:6" ht="42.75" customHeight="1" x14ac:dyDescent="0.3">
      <c r="B25" s="15">
        <v>23</v>
      </c>
      <c r="C25" s="48" t="s">
        <v>533</v>
      </c>
      <c r="E25" s="15">
        <v>48</v>
      </c>
      <c r="F25" s="48"/>
    </row>
    <row r="26" spans="2:6" ht="42.75" customHeight="1" x14ac:dyDescent="0.3">
      <c r="B26" s="15">
        <v>24</v>
      </c>
      <c r="C26" s="48" t="s">
        <v>548</v>
      </c>
      <c r="E26" s="15">
        <v>49</v>
      </c>
      <c r="F26" s="48"/>
    </row>
    <row r="27" spans="2:6" ht="42.75" customHeight="1" x14ac:dyDescent="0.3">
      <c r="B27" s="15">
        <v>25</v>
      </c>
      <c r="C27" s="48" t="s">
        <v>8</v>
      </c>
      <c r="E27" s="15">
        <v>50</v>
      </c>
      <c r="F27" s="48"/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scale="41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8FBE1-5A9A-401B-94D4-1A6F7A8A5BEE}">
  <sheetPr codeName="Sheet37"/>
  <dimension ref="B2:O35"/>
  <sheetViews>
    <sheetView showGridLines="0" topLeftCell="A10" zoomScale="40" zoomScaleNormal="40" zoomScaleSheetLayoutView="55" workbookViewId="0">
      <selection activeCell="T13" sqref="T13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2" customWidth="1"/>
    <col min="16" max="16" width="31.875" style="2" customWidth="1"/>
    <col min="17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321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9"/>
      <c r="H4" s="69"/>
      <c r="I4" s="69"/>
      <c r="J4" s="69"/>
      <c r="K4" s="69"/>
      <c r="L4" s="69"/>
      <c r="M4" s="69"/>
      <c r="N4" s="69"/>
    </row>
    <row r="5" spans="2:15" ht="49.5" customHeight="1" x14ac:dyDescent="0.3">
      <c r="B5" s="36" t="s">
        <v>0</v>
      </c>
      <c r="C5" s="70" t="s">
        <v>20</v>
      </c>
      <c r="D5" s="70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174.75" customHeight="1" x14ac:dyDescent="0.3">
      <c r="B6" s="71">
        <v>1</v>
      </c>
      <c r="C6" s="72">
        <f>IF(E6="공통",2.5,IF(E6="객관식",4,IF(E6="주관식",5,"")))</f>
        <v>5</v>
      </c>
      <c r="D6" s="72" t="s">
        <v>52</v>
      </c>
      <c r="E6" s="72" t="s">
        <v>3</v>
      </c>
      <c r="F6" s="125" t="s">
        <v>316</v>
      </c>
      <c r="G6" s="125"/>
      <c r="H6" s="125"/>
      <c r="I6" s="125"/>
      <c r="J6" s="125"/>
      <c r="K6" s="125"/>
      <c r="L6" s="125"/>
      <c r="M6" s="125"/>
      <c r="N6" s="125"/>
      <c r="O6" s="73" t="s">
        <v>317</v>
      </c>
    </row>
    <row r="7" spans="2:15" s="10" customFormat="1" ht="207" customHeight="1" x14ac:dyDescent="0.3">
      <c r="B7" s="74">
        <v>2</v>
      </c>
      <c r="C7" s="72">
        <f t="shared" ref="C7:C31" si="0">IF(E7="공통",2.5,IF(E7="객관식",4,IF(E7="주관식",5,"")))</f>
        <v>5</v>
      </c>
      <c r="D7" s="72" t="s">
        <v>52</v>
      </c>
      <c r="E7" s="72" t="s">
        <v>3</v>
      </c>
      <c r="F7" s="125" t="s">
        <v>983</v>
      </c>
      <c r="G7" s="125"/>
      <c r="H7" s="125"/>
      <c r="I7" s="125"/>
      <c r="J7" s="125"/>
      <c r="K7" s="125"/>
      <c r="L7" s="125"/>
      <c r="M7" s="125"/>
      <c r="N7" s="125"/>
      <c r="O7" s="75" t="s">
        <v>318</v>
      </c>
    </row>
    <row r="8" spans="2:15" s="10" customFormat="1" ht="207" customHeight="1" x14ac:dyDescent="0.3">
      <c r="B8" s="74">
        <v>3</v>
      </c>
      <c r="C8" s="72">
        <f t="shared" si="0"/>
        <v>5</v>
      </c>
      <c r="D8" s="72" t="s">
        <v>52</v>
      </c>
      <c r="E8" s="72" t="s">
        <v>3</v>
      </c>
      <c r="F8" s="125" t="s">
        <v>934</v>
      </c>
      <c r="G8" s="125"/>
      <c r="H8" s="125"/>
      <c r="I8" s="125"/>
      <c r="J8" s="125"/>
      <c r="K8" s="125"/>
      <c r="L8" s="125"/>
      <c r="M8" s="125"/>
      <c r="N8" s="125"/>
      <c r="O8" s="76" t="s">
        <v>319</v>
      </c>
    </row>
    <row r="9" spans="2:15" s="10" customFormat="1" ht="252" customHeight="1" x14ac:dyDescent="0.3">
      <c r="B9" s="74">
        <v>4</v>
      </c>
      <c r="C9" s="72">
        <f t="shared" si="0"/>
        <v>4</v>
      </c>
      <c r="D9" s="72" t="s">
        <v>52</v>
      </c>
      <c r="E9" s="72" t="s">
        <v>2</v>
      </c>
      <c r="F9" s="125" t="s">
        <v>320</v>
      </c>
      <c r="G9" s="125"/>
      <c r="H9" s="125"/>
      <c r="I9" s="125"/>
      <c r="J9" s="125"/>
      <c r="K9" s="125"/>
      <c r="L9" s="125"/>
      <c r="M9" s="125"/>
      <c r="N9" s="125"/>
      <c r="O9" s="76">
        <v>3</v>
      </c>
    </row>
    <row r="10" spans="2:15" s="10" customFormat="1" ht="207" customHeight="1" x14ac:dyDescent="0.3">
      <c r="B10" s="74">
        <v>5</v>
      </c>
      <c r="C10" s="72">
        <f t="shared" si="0"/>
        <v>2.5</v>
      </c>
      <c r="D10" s="72" t="s">
        <v>52</v>
      </c>
      <c r="E10" s="72" t="s">
        <v>25</v>
      </c>
      <c r="F10" s="125" t="s">
        <v>502</v>
      </c>
      <c r="G10" s="125"/>
      <c r="H10" s="125"/>
      <c r="I10" s="125"/>
      <c r="J10" s="125"/>
      <c r="K10" s="125"/>
      <c r="L10" s="125"/>
      <c r="M10" s="125"/>
      <c r="N10" s="125"/>
      <c r="O10" s="75">
        <v>4</v>
      </c>
    </row>
    <row r="11" spans="2:15" s="10" customFormat="1" ht="207" customHeight="1" x14ac:dyDescent="0.3">
      <c r="B11" s="74">
        <v>6</v>
      </c>
      <c r="C11" s="72">
        <f t="shared" si="0"/>
        <v>4</v>
      </c>
      <c r="D11" s="72" t="s">
        <v>52</v>
      </c>
      <c r="E11" s="72" t="s">
        <v>2</v>
      </c>
      <c r="F11" s="125" t="s">
        <v>503</v>
      </c>
      <c r="G11" s="125"/>
      <c r="H11" s="125"/>
      <c r="I11" s="125"/>
      <c r="J11" s="125"/>
      <c r="K11" s="125"/>
      <c r="L11" s="125"/>
      <c r="M11" s="125"/>
      <c r="N11" s="125"/>
      <c r="O11" s="75">
        <v>3</v>
      </c>
    </row>
    <row r="12" spans="2:15" s="10" customFormat="1" ht="207" customHeight="1" x14ac:dyDescent="0.3">
      <c r="B12" s="74">
        <v>7</v>
      </c>
      <c r="C12" s="72">
        <f t="shared" si="0"/>
        <v>4</v>
      </c>
      <c r="D12" s="72" t="s">
        <v>52</v>
      </c>
      <c r="E12" s="72" t="s">
        <v>2</v>
      </c>
      <c r="F12" s="125" t="s">
        <v>504</v>
      </c>
      <c r="G12" s="125"/>
      <c r="H12" s="125"/>
      <c r="I12" s="125"/>
      <c r="J12" s="125"/>
      <c r="K12" s="125"/>
      <c r="L12" s="125"/>
      <c r="M12" s="125"/>
      <c r="N12" s="125"/>
      <c r="O12" s="75">
        <v>2</v>
      </c>
    </row>
    <row r="13" spans="2:15" s="10" customFormat="1" ht="207" customHeight="1" x14ac:dyDescent="0.3">
      <c r="B13" s="74">
        <v>8</v>
      </c>
      <c r="C13" s="72">
        <f t="shared" ref="C13" si="1">IF(E13="공통",2.5,IF(E13="객관식",4,IF(E13="주관식",5,"")))</f>
        <v>4</v>
      </c>
      <c r="D13" s="72" t="s">
        <v>52</v>
      </c>
      <c r="E13" s="72" t="s">
        <v>2</v>
      </c>
      <c r="F13" s="125" t="s">
        <v>505</v>
      </c>
      <c r="G13" s="125"/>
      <c r="H13" s="125"/>
      <c r="I13" s="125"/>
      <c r="J13" s="125"/>
      <c r="K13" s="125"/>
      <c r="L13" s="125"/>
      <c r="M13" s="125"/>
      <c r="N13" s="125"/>
      <c r="O13" s="75">
        <v>4</v>
      </c>
    </row>
    <row r="14" spans="2:15" s="10" customFormat="1" ht="207" customHeight="1" x14ac:dyDescent="0.3">
      <c r="B14" s="74">
        <v>9</v>
      </c>
      <c r="C14" s="72">
        <f t="shared" si="0"/>
        <v>4</v>
      </c>
      <c r="D14" s="72" t="s">
        <v>52</v>
      </c>
      <c r="E14" s="72" t="s">
        <v>2</v>
      </c>
      <c r="F14" s="125" t="s">
        <v>322</v>
      </c>
      <c r="G14" s="125"/>
      <c r="H14" s="125"/>
      <c r="I14" s="125"/>
      <c r="J14" s="125"/>
      <c r="K14" s="125"/>
      <c r="L14" s="125"/>
      <c r="M14" s="125"/>
      <c r="N14" s="125"/>
      <c r="O14" s="75">
        <v>5</v>
      </c>
    </row>
    <row r="15" spans="2:15" s="10" customFormat="1" ht="235.5" customHeight="1" x14ac:dyDescent="0.3">
      <c r="B15" s="74">
        <v>10</v>
      </c>
      <c r="C15" s="72">
        <f t="shared" si="0"/>
        <v>4</v>
      </c>
      <c r="D15" s="72" t="s">
        <v>52</v>
      </c>
      <c r="E15" s="72" t="s">
        <v>2</v>
      </c>
      <c r="F15" s="125" t="s">
        <v>1013</v>
      </c>
      <c r="G15" s="125"/>
      <c r="H15" s="125"/>
      <c r="I15" s="125"/>
      <c r="J15" s="125"/>
      <c r="K15" s="125"/>
      <c r="L15" s="125"/>
      <c r="M15" s="125"/>
      <c r="N15" s="125"/>
      <c r="O15" s="76">
        <v>4</v>
      </c>
    </row>
    <row r="16" spans="2:15" s="10" customFormat="1" ht="207" customHeight="1" x14ac:dyDescent="0.3">
      <c r="B16" s="74">
        <v>11</v>
      </c>
      <c r="C16" s="72">
        <f t="shared" si="0"/>
        <v>4</v>
      </c>
      <c r="D16" s="72" t="s">
        <v>52</v>
      </c>
      <c r="E16" s="72" t="s">
        <v>2</v>
      </c>
      <c r="F16" s="125" t="s">
        <v>323</v>
      </c>
      <c r="G16" s="125"/>
      <c r="H16" s="125"/>
      <c r="I16" s="125"/>
      <c r="J16" s="125"/>
      <c r="K16" s="125"/>
      <c r="L16" s="125"/>
      <c r="M16" s="125"/>
      <c r="N16" s="125"/>
      <c r="O16" s="76">
        <v>1</v>
      </c>
    </row>
    <row r="17" spans="2:15" s="10" customFormat="1" ht="207" customHeight="1" x14ac:dyDescent="0.3">
      <c r="B17" s="74">
        <v>12</v>
      </c>
      <c r="C17" s="72">
        <f t="shared" si="0"/>
        <v>4</v>
      </c>
      <c r="D17" s="72" t="s">
        <v>52</v>
      </c>
      <c r="E17" s="72" t="s">
        <v>2</v>
      </c>
      <c r="F17" s="125" t="s">
        <v>324</v>
      </c>
      <c r="G17" s="125"/>
      <c r="H17" s="125"/>
      <c r="I17" s="125"/>
      <c r="J17" s="125"/>
      <c r="K17" s="125"/>
      <c r="L17" s="125"/>
      <c r="M17" s="125"/>
      <c r="N17" s="125"/>
      <c r="O17" s="76">
        <v>2</v>
      </c>
    </row>
    <row r="18" spans="2:15" s="10" customFormat="1" ht="207" customHeight="1" x14ac:dyDescent="0.3">
      <c r="B18" s="74">
        <v>13</v>
      </c>
      <c r="C18" s="72">
        <f t="shared" si="0"/>
        <v>4</v>
      </c>
      <c r="D18" s="72" t="s">
        <v>52</v>
      </c>
      <c r="E18" s="72" t="s">
        <v>2</v>
      </c>
      <c r="F18" s="125" t="s">
        <v>1008</v>
      </c>
      <c r="G18" s="125"/>
      <c r="H18" s="125"/>
      <c r="I18" s="125"/>
      <c r="J18" s="125"/>
      <c r="K18" s="125"/>
      <c r="L18" s="125"/>
      <c r="M18" s="125"/>
      <c r="N18" s="125"/>
      <c r="O18" s="76">
        <v>1</v>
      </c>
    </row>
    <row r="19" spans="2:15" s="10" customFormat="1" ht="207" customHeight="1" x14ac:dyDescent="0.3">
      <c r="B19" s="74">
        <v>14</v>
      </c>
      <c r="C19" s="72">
        <f t="shared" si="0"/>
        <v>4</v>
      </c>
      <c r="D19" s="72" t="s">
        <v>52</v>
      </c>
      <c r="E19" s="72" t="s">
        <v>2</v>
      </c>
      <c r="F19" s="125" t="s">
        <v>916</v>
      </c>
      <c r="G19" s="125"/>
      <c r="H19" s="125"/>
      <c r="I19" s="125"/>
      <c r="J19" s="125"/>
      <c r="K19" s="125"/>
      <c r="L19" s="125"/>
      <c r="M19" s="125"/>
      <c r="N19" s="125"/>
      <c r="O19" s="77">
        <v>4</v>
      </c>
    </row>
    <row r="20" spans="2:15" s="10" customFormat="1" ht="207" customHeight="1" x14ac:dyDescent="0.3">
      <c r="B20" s="74">
        <v>15</v>
      </c>
      <c r="C20" s="72">
        <f t="shared" si="0"/>
        <v>4</v>
      </c>
      <c r="D20" s="72" t="s">
        <v>52</v>
      </c>
      <c r="E20" s="72" t="s">
        <v>2</v>
      </c>
      <c r="F20" s="125" t="s">
        <v>506</v>
      </c>
      <c r="G20" s="125"/>
      <c r="H20" s="125"/>
      <c r="I20" s="125"/>
      <c r="J20" s="125"/>
      <c r="K20" s="125"/>
      <c r="L20" s="125"/>
      <c r="M20" s="125"/>
      <c r="N20" s="125"/>
      <c r="O20" s="75">
        <v>4</v>
      </c>
    </row>
    <row r="21" spans="2:15" s="10" customFormat="1" ht="207" customHeight="1" x14ac:dyDescent="0.3">
      <c r="B21" s="74">
        <v>16</v>
      </c>
      <c r="C21" s="72">
        <f t="shared" si="0"/>
        <v>4</v>
      </c>
      <c r="D21" s="72" t="s">
        <v>52</v>
      </c>
      <c r="E21" s="72" t="s">
        <v>2</v>
      </c>
      <c r="F21" s="125" t="s">
        <v>449</v>
      </c>
      <c r="G21" s="125"/>
      <c r="H21" s="125"/>
      <c r="I21" s="125"/>
      <c r="J21" s="125"/>
      <c r="K21" s="125"/>
      <c r="L21" s="125"/>
      <c r="M21" s="125"/>
      <c r="N21" s="125"/>
      <c r="O21" s="75">
        <v>4</v>
      </c>
    </row>
    <row r="22" spans="2:15" s="10" customFormat="1" ht="276.75" customHeight="1" x14ac:dyDescent="0.3">
      <c r="B22" s="74">
        <v>17</v>
      </c>
      <c r="C22" s="72">
        <f t="shared" si="0"/>
        <v>4</v>
      </c>
      <c r="D22" s="72" t="s">
        <v>52</v>
      </c>
      <c r="E22" s="72" t="s">
        <v>2</v>
      </c>
      <c r="F22" s="125" t="s">
        <v>1009</v>
      </c>
      <c r="G22" s="125"/>
      <c r="H22" s="125"/>
      <c r="I22" s="125"/>
      <c r="J22" s="125"/>
      <c r="K22" s="125"/>
      <c r="L22" s="125"/>
      <c r="M22" s="125"/>
      <c r="N22" s="125"/>
      <c r="O22" s="75">
        <v>4</v>
      </c>
    </row>
    <row r="23" spans="2:15" s="10" customFormat="1" ht="207" customHeight="1" x14ac:dyDescent="0.3">
      <c r="B23" s="74">
        <v>18</v>
      </c>
      <c r="C23" s="72">
        <f t="shared" si="0"/>
        <v>5</v>
      </c>
      <c r="D23" s="72" t="s">
        <v>52</v>
      </c>
      <c r="E23" s="72" t="s">
        <v>3</v>
      </c>
      <c r="F23" s="125" t="s">
        <v>326</v>
      </c>
      <c r="G23" s="125"/>
      <c r="H23" s="125"/>
      <c r="I23" s="125"/>
      <c r="J23" s="125"/>
      <c r="K23" s="125"/>
      <c r="L23" s="125"/>
      <c r="M23" s="125"/>
      <c r="N23" s="125"/>
      <c r="O23" s="75" t="s">
        <v>325</v>
      </c>
    </row>
    <row r="24" spans="2:15" s="10" customFormat="1" ht="207" customHeight="1" x14ac:dyDescent="0.3">
      <c r="B24" s="74">
        <v>19</v>
      </c>
      <c r="C24" s="72">
        <f t="shared" si="0"/>
        <v>5</v>
      </c>
      <c r="D24" s="72" t="s">
        <v>52</v>
      </c>
      <c r="E24" s="72" t="s">
        <v>3</v>
      </c>
      <c r="F24" s="125" t="s">
        <v>935</v>
      </c>
      <c r="G24" s="125"/>
      <c r="H24" s="125"/>
      <c r="I24" s="125"/>
      <c r="J24" s="125"/>
      <c r="K24" s="125"/>
      <c r="L24" s="125"/>
      <c r="M24" s="125"/>
      <c r="N24" s="125"/>
      <c r="O24" s="75" t="s">
        <v>327</v>
      </c>
    </row>
    <row r="25" spans="2:15" s="10" customFormat="1" ht="207" customHeight="1" x14ac:dyDescent="0.3">
      <c r="B25" s="74">
        <v>20</v>
      </c>
      <c r="C25" s="72">
        <f t="shared" si="0"/>
        <v>5</v>
      </c>
      <c r="D25" s="72" t="s">
        <v>52</v>
      </c>
      <c r="E25" s="72" t="s">
        <v>3</v>
      </c>
      <c r="F25" s="125" t="s">
        <v>1012</v>
      </c>
      <c r="G25" s="125"/>
      <c r="H25" s="125"/>
      <c r="I25" s="125"/>
      <c r="J25" s="125"/>
      <c r="K25" s="125"/>
      <c r="L25" s="125"/>
      <c r="M25" s="125"/>
      <c r="N25" s="125"/>
      <c r="O25" s="78" t="s">
        <v>328</v>
      </c>
    </row>
    <row r="26" spans="2:15" s="10" customFormat="1" ht="289.5" customHeight="1" x14ac:dyDescent="0.3">
      <c r="B26" s="74">
        <v>21</v>
      </c>
      <c r="C26" s="72">
        <f t="shared" si="0"/>
        <v>4</v>
      </c>
      <c r="D26" s="72" t="s">
        <v>52</v>
      </c>
      <c r="E26" s="72" t="s">
        <v>2</v>
      </c>
      <c r="F26" s="125" t="s">
        <v>329</v>
      </c>
      <c r="G26" s="125"/>
      <c r="H26" s="125"/>
      <c r="I26" s="125"/>
      <c r="J26" s="125"/>
      <c r="K26" s="125"/>
      <c r="L26" s="125"/>
      <c r="M26" s="125"/>
      <c r="N26" s="125"/>
      <c r="O26" s="75">
        <v>4</v>
      </c>
    </row>
    <row r="27" spans="2:15" s="10" customFormat="1" ht="207" customHeight="1" x14ac:dyDescent="0.3">
      <c r="B27" s="74">
        <v>22</v>
      </c>
      <c r="C27" s="72">
        <f t="shared" si="0"/>
        <v>4</v>
      </c>
      <c r="D27" s="72" t="s">
        <v>52</v>
      </c>
      <c r="E27" s="72" t="s">
        <v>2</v>
      </c>
      <c r="F27" s="125" t="s">
        <v>915</v>
      </c>
      <c r="G27" s="131"/>
      <c r="H27" s="131"/>
      <c r="I27" s="131"/>
      <c r="J27" s="131"/>
      <c r="K27" s="131"/>
      <c r="L27" s="131"/>
      <c r="M27" s="131"/>
      <c r="N27" s="131"/>
      <c r="O27" s="75">
        <v>3</v>
      </c>
    </row>
    <row r="28" spans="2:15" s="10" customFormat="1" ht="207" customHeight="1" x14ac:dyDescent="0.3">
      <c r="B28" s="74">
        <v>23</v>
      </c>
      <c r="C28" s="72">
        <f t="shared" si="0"/>
        <v>2.5</v>
      </c>
      <c r="D28" s="72" t="s">
        <v>52</v>
      </c>
      <c r="E28" s="72" t="s">
        <v>25</v>
      </c>
      <c r="F28" s="125" t="s">
        <v>917</v>
      </c>
      <c r="G28" s="131"/>
      <c r="H28" s="131"/>
      <c r="I28" s="131"/>
      <c r="J28" s="131"/>
      <c r="K28" s="131"/>
      <c r="L28" s="131"/>
      <c r="M28" s="131"/>
      <c r="N28" s="131"/>
      <c r="O28" s="75">
        <v>4</v>
      </c>
    </row>
    <row r="29" spans="2:15" s="10" customFormat="1" ht="207" customHeight="1" x14ac:dyDescent="0.3">
      <c r="B29" s="74">
        <v>24</v>
      </c>
      <c r="C29" s="72">
        <f t="shared" si="0"/>
        <v>4</v>
      </c>
      <c r="D29" s="72" t="s">
        <v>52</v>
      </c>
      <c r="E29" s="72" t="s">
        <v>2</v>
      </c>
      <c r="F29" s="125" t="s">
        <v>918</v>
      </c>
      <c r="G29" s="125"/>
      <c r="H29" s="125"/>
      <c r="I29" s="125"/>
      <c r="J29" s="125"/>
      <c r="K29" s="125"/>
      <c r="L29" s="125"/>
      <c r="M29" s="125"/>
      <c r="N29" s="125"/>
      <c r="O29" s="76">
        <v>2</v>
      </c>
    </row>
    <row r="30" spans="2:15" s="10" customFormat="1" ht="237" customHeight="1" x14ac:dyDescent="0.3">
      <c r="B30" s="74">
        <v>25</v>
      </c>
      <c r="C30" s="72">
        <f t="shared" si="0"/>
        <v>4</v>
      </c>
      <c r="D30" s="72" t="s">
        <v>52</v>
      </c>
      <c r="E30" s="72" t="s">
        <v>2</v>
      </c>
      <c r="F30" s="125" t="s">
        <v>1011</v>
      </c>
      <c r="G30" s="125"/>
      <c r="H30" s="125"/>
      <c r="I30" s="125"/>
      <c r="J30" s="125"/>
      <c r="K30" s="125"/>
      <c r="L30" s="125"/>
      <c r="M30" s="125"/>
      <c r="N30" s="125"/>
      <c r="O30" s="76">
        <v>2</v>
      </c>
    </row>
    <row r="31" spans="2:15" s="10" customFormat="1" ht="207" customHeight="1" x14ac:dyDescent="0.3">
      <c r="B31" s="74">
        <v>26</v>
      </c>
      <c r="C31" s="72">
        <f t="shared" si="0"/>
        <v>5</v>
      </c>
      <c r="D31" s="72" t="s">
        <v>52</v>
      </c>
      <c r="E31" s="72" t="s">
        <v>3</v>
      </c>
      <c r="F31" s="125" t="s">
        <v>936</v>
      </c>
      <c r="G31" s="125"/>
      <c r="H31" s="125"/>
      <c r="I31" s="125"/>
      <c r="J31" s="125"/>
      <c r="K31" s="125"/>
      <c r="L31" s="125"/>
      <c r="M31" s="125"/>
      <c r="N31" s="125"/>
      <c r="O31" s="76" t="s">
        <v>330</v>
      </c>
    </row>
    <row r="32" spans="2:15" s="10" customFormat="1" ht="207" customHeight="1" x14ac:dyDescent="0.3">
      <c r="B32" s="74">
        <v>27</v>
      </c>
      <c r="C32" s="72">
        <f t="shared" ref="C32:C35" si="2">IF(E32="공통",2.5,IF(E32="객관식",4,IF(E32="주관식",5,"")))</f>
        <v>2.5</v>
      </c>
      <c r="D32" s="72" t="s">
        <v>52</v>
      </c>
      <c r="E32" s="72" t="s">
        <v>25</v>
      </c>
      <c r="F32" s="125" t="s">
        <v>914</v>
      </c>
      <c r="G32" s="125"/>
      <c r="H32" s="125"/>
      <c r="I32" s="125"/>
      <c r="J32" s="125"/>
      <c r="K32" s="125"/>
      <c r="L32" s="125"/>
      <c r="M32" s="125"/>
      <c r="N32" s="125"/>
      <c r="O32" s="76">
        <v>1</v>
      </c>
    </row>
    <row r="33" spans="2:15" s="10" customFormat="1" ht="273" customHeight="1" x14ac:dyDescent="0.3">
      <c r="B33" s="74">
        <v>28</v>
      </c>
      <c r="C33" s="72">
        <f t="shared" si="2"/>
        <v>4</v>
      </c>
      <c r="D33" s="72" t="s">
        <v>52</v>
      </c>
      <c r="E33" s="72" t="s">
        <v>2</v>
      </c>
      <c r="F33" s="125" t="s">
        <v>1010</v>
      </c>
      <c r="G33" s="125"/>
      <c r="H33" s="125"/>
      <c r="I33" s="125"/>
      <c r="J33" s="125"/>
      <c r="K33" s="125"/>
      <c r="L33" s="125"/>
      <c r="M33" s="125"/>
      <c r="N33" s="125"/>
      <c r="O33" s="76">
        <v>1</v>
      </c>
    </row>
    <row r="34" spans="2:15" s="10" customFormat="1" ht="207" customHeight="1" x14ac:dyDescent="0.3">
      <c r="B34" s="74">
        <v>29</v>
      </c>
      <c r="C34" s="72">
        <f t="shared" si="2"/>
        <v>4</v>
      </c>
      <c r="D34" s="72" t="s">
        <v>52</v>
      </c>
      <c r="E34" s="72" t="s">
        <v>2</v>
      </c>
      <c r="F34" s="125" t="s">
        <v>507</v>
      </c>
      <c r="G34" s="125"/>
      <c r="H34" s="125"/>
      <c r="I34" s="125"/>
      <c r="J34" s="125"/>
      <c r="K34" s="125"/>
      <c r="L34" s="125"/>
      <c r="M34" s="125"/>
      <c r="N34" s="125"/>
      <c r="O34" s="76">
        <v>3</v>
      </c>
    </row>
    <row r="35" spans="2:15" s="10" customFormat="1" ht="207" customHeight="1" x14ac:dyDescent="0.3">
      <c r="B35" s="74">
        <v>30</v>
      </c>
      <c r="C35" s="72">
        <f t="shared" si="2"/>
        <v>4</v>
      </c>
      <c r="D35" s="72" t="s">
        <v>52</v>
      </c>
      <c r="E35" s="72" t="s">
        <v>2</v>
      </c>
      <c r="F35" s="125" t="s">
        <v>508</v>
      </c>
      <c r="G35" s="125"/>
      <c r="H35" s="125"/>
      <c r="I35" s="125"/>
      <c r="J35" s="125"/>
      <c r="K35" s="125"/>
      <c r="L35" s="125"/>
      <c r="M35" s="125"/>
      <c r="N35" s="125"/>
      <c r="O35" s="76">
        <v>4</v>
      </c>
    </row>
  </sheetData>
  <mergeCells count="33">
    <mergeCell ref="F32:N32"/>
    <mergeCell ref="F33:N33"/>
    <mergeCell ref="F34:N34"/>
    <mergeCell ref="F35:N35"/>
    <mergeCell ref="F22:N22"/>
    <mergeCell ref="F23:N23"/>
    <mergeCell ref="F24:N24"/>
    <mergeCell ref="F25:N25"/>
    <mergeCell ref="F26:N26"/>
    <mergeCell ref="F27:N27"/>
    <mergeCell ref="F28:N28"/>
    <mergeCell ref="F29:N29"/>
    <mergeCell ref="F30:N30"/>
    <mergeCell ref="F31:N31"/>
    <mergeCell ref="F21:N21"/>
    <mergeCell ref="F9:N9"/>
    <mergeCell ref="F10:N10"/>
    <mergeCell ref="F11:N11"/>
    <mergeCell ref="F12:N12"/>
    <mergeCell ref="F14:N14"/>
    <mergeCell ref="F15:N15"/>
    <mergeCell ref="F16:N16"/>
    <mergeCell ref="F17:N17"/>
    <mergeCell ref="F18:N18"/>
    <mergeCell ref="F19:N19"/>
    <mergeCell ref="F20:N20"/>
    <mergeCell ref="F13:N13"/>
    <mergeCell ref="F8:N8"/>
    <mergeCell ref="B3:O3"/>
    <mergeCell ref="C4:F4"/>
    <mergeCell ref="F5:N5"/>
    <mergeCell ref="F6:N6"/>
    <mergeCell ref="F7:N7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4" min="1" max="14" man="1"/>
    <brk id="24" min="1" max="14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B2:O39"/>
  <sheetViews>
    <sheetView showGridLines="0" tabSelected="1" topLeftCell="A27" zoomScale="40" zoomScaleNormal="40" zoomScaleSheetLayoutView="55" workbookViewId="0">
      <selection activeCell="C30" sqref="C30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71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54"/>
      <c r="H4" s="54"/>
      <c r="I4" s="54"/>
      <c r="J4" s="54"/>
      <c r="K4" s="54"/>
      <c r="L4" s="54"/>
      <c r="M4" s="54"/>
      <c r="N4" s="54"/>
    </row>
    <row r="5" spans="2:15" ht="49.5" customHeight="1" x14ac:dyDescent="0.3">
      <c r="B5" s="36" t="s">
        <v>0</v>
      </c>
      <c r="C5" s="55" t="s">
        <v>20</v>
      </c>
      <c r="D5" s="55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2.5</v>
      </c>
      <c r="D6" s="41" t="s">
        <v>14</v>
      </c>
      <c r="E6" s="41" t="s">
        <v>58</v>
      </c>
      <c r="F6" s="132" t="s">
        <v>357</v>
      </c>
      <c r="G6" s="132"/>
      <c r="H6" s="132"/>
      <c r="I6" s="132"/>
      <c r="J6" s="132"/>
      <c r="K6" s="132"/>
      <c r="L6" s="132"/>
      <c r="M6" s="132"/>
      <c r="N6" s="132"/>
      <c r="O6" s="80">
        <v>2</v>
      </c>
    </row>
    <row r="7" spans="2:15" s="10" customFormat="1" ht="206.25" customHeight="1" x14ac:dyDescent="0.3">
      <c r="B7" s="42">
        <v>2</v>
      </c>
      <c r="C7" s="41">
        <f t="shared" ref="C7:C30" si="0">IF(E7="공통",2.5,IF(E7="객관식",4,IF(E7="주관식",5,"")))</f>
        <v>2.5</v>
      </c>
      <c r="D7" s="41" t="s">
        <v>14</v>
      </c>
      <c r="E7" s="41" t="s">
        <v>59</v>
      </c>
      <c r="F7" s="132" t="s">
        <v>358</v>
      </c>
      <c r="G7" s="133"/>
      <c r="H7" s="133"/>
      <c r="I7" s="133"/>
      <c r="J7" s="133"/>
      <c r="K7" s="133"/>
      <c r="L7" s="133"/>
      <c r="M7" s="133"/>
      <c r="N7" s="133"/>
      <c r="O7" s="80">
        <v>2</v>
      </c>
    </row>
    <row r="8" spans="2:15" s="10" customFormat="1" ht="207" customHeight="1" x14ac:dyDescent="0.3">
      <c r="B8" s="42">
        <v>3</v>
      </c>
      <c r="C8" s="41">
        <f t="shared" si="0"/>
        <v>2.5</v>
      </c>
      <c r="D8" s="41" t="s">
        <v>14</v>
      </c>
      <c r="E8" s="41" t="s">
        <v>60</v>
      </c>
      <c r="F8" s="132" t="s">
        <v>359</v>
      </c>
      <c r="G8" s="132"/>
      <c r="H8" s="132"/>
      <c r="I8" s="132"/>
      <c r="J8" s="132"/>
      <c r="K8" s="132"/>
      <c r="L8" s="132"/>
      <c r="M8" s="132"/>
      <c r="N8" s="132"/>
      <c r="O8" s="80">
        <v>2</v>
      </c>
    </row>
    <row r="9" spans="2:15" s="10" customFormat="1" ht="207" customHeight="1" x14ac:dyDescent="0.3">
      <c r="B9" s="42">
        <v>4</v>
      </c>
      <c r="C9" s="41">
        <f t="shared" si="0"/>
        <v>2.5</v>
      </c>
      <c r="D9" s="41" t="s">
        <v>14</v>
      </c>
      <c r="E9" s="41" t="s">
        <v>59</v>
      </c>
      <c r="F9" s="132" t="s">
        <v>360</v>
      </c>
      <c r="G9" s="132"/>
      <c r="H9" s="132"/>
      <c r="I9" s="132"/>
      <c r="J9" s="132"/>
      <c r="K9" s="132"/>
      <c r="L9" s="132"/>
      <c r="M9" s="132"/>
      <c r="N9" s="132"/>
      <c r="O9" s="81">
        <v>3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61</v>
      </c>
      <c r="F10" s="132" t="s">
        <v>361</v>
      </c>
      <c r="G10" s="132"/>
      <c r="H10" s="132"/>
      <c r="I10" s="132"/>
      <c r="J10" s="132"/>
      <c r="K10" s="132"/>
      <c r="L10" s="132"/>
      <c r="M10" s="132"/>
      <c r="N10" s="132"/>
      <c r="O10" s="79">
        <v>4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14</v>
      </c>
      <c r="E11" s="41" t="s">
        <v>61</v>
      </c>
      <c r="F11" s="132" t="s">
        <v>362</v>
      </c>
      <c r="G11" s="132"/>
      <c r="H11" s="132"/>
      <c r="I11" s="132"/>
      <c r="J11" s="132"/>
      <c r="K11" s="132"/>
      <c r="L11" s="132"/>
      <c r="M11" s="132"/>
      <c r="N11" s="132"/>
      <c r="O11" s="79">
        <v>1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61</v>
      </c>
      <c r="F12" s="132" t="s">
        <v>363</v>
      </c>
      <c r="G12" s="132"/>
      <c r="H12" s="132"/>
      <c r="I12" s="132"/>
      <c r="J12" s="132"/>
      <c r="K12" s="132"/>
      <c r="L12" s="132"/>
      <c r="M12" s="132"/>
      <c r="N12" s="132"/>
      <c r="O12" s="79">
        <v>2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61</v>
      </c>
      <c r="F13" s="132" t="s">
        <v>364</v>
      </c>
      <c r="G13" s="132"/>
      <c r="H13" s="132"/>
      <c r="I13" s="132"/>
      <c r="J13" s="132"/>
      <c r="K13" s="132"/>
      <c r="L13" s="132"/>
      <c r="M13" s="132"/>
      <c r="N13" s="132"/>
      <c r="O13" s="80">
        <v>2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13</v>
      </c>
      <c r="F14" s="132" t="s">
        <v>365</v>
      </c>
      <c r="G14" s="132"/>
      <c r="H14" s="132"/>
      <c r="I14" s="132"/>
      <c r="J14" s="132"/>
      <c r="K14" s="132"/>
      <c r="L14" s="132"/>
      <c r="M14" s="132"/>
      <c r="N14" s="132"/>
      <c r="O14" s="79">
        <v>3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61</v>
      </c>
      <c r="F15" s="132" t="s">
        <v>366</v>
      </c>
      <c r="G15" s="132"/>
      <c r="H15" s="132"/>
      <c r="I15" s="132"/>
      <c r="J15" s="132"/>
      <c r="K15" s="132"/>
      <c r="L15" s="132"/>
      <c r="M15" s="132"/>
      <c r="N15" s="132"/>
      <c r="O15" s="79">
        <v>2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61</v>
      </c>
      <c r="F16" s="132" t="s">
        <v>367</v>
      </c>
      <c r="G16" s="132"/>
      <c r="H16" s="132"/>
      <c r="I16" s="132"/>
      <c r="J16" s="132"/>
      <c r="K16" s="132"/>
      <c r="L16" s="132"/>
      <c r="M16" s="132"/>
      <c r="N16" s="132"/>
      <c r="O16" s="80">
        <v>2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61</v>
      </c>
      <c r="F17" s="132" t="s">
        <v>368</v>
      </c>
      <c r="G17" s="132"/>
      <c r="H17" s="132"/>
      <c r="I17" s="132"/>
      <c r="J17" s="132"/>
      <c r="K17" s="132"/>
      <c r="L17" s="132"/>
      <c r="M17" s="132"/>
      <c r="N17" s="132"/>
      <c r="O17" s="79">
        <v>2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61</v>
      </c>
      <c r="F18" s="132" t="s">
        <v>369</v>
      </c>
      <c r="G18" s="132"/>
      <c r="H18" s="132"/>
      <c r="I18" s="132"/>
      <c r="J18" s="132"/>
      <c r="K18" s="132"/>
      <c r="L18" s="132"/>
      <c r="M18" s="132"/>
      <c r="N18" s="132"/>
      <c r="O18" s="83">
        <v>4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13</v>
      </c>
      <c r="F19" s="132" t="s">
        <v>370</v>
      </c>
      <c r="G19" s="132"/>
      <c r="H19" s="132"/>
      <c r="I19" s="132"/>
      <c r="J19" s="132"/>
      <c r="K19" s="132"/>
      <c r="L19" s="132"/>
      <c r="M19" s="132"/>
      <c r="N19" s="132"/>
      <c r="O19" s="79">
        <v>2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61</v>
      </c>
      <c r="F20" s="132" t="s">
        <v>509</v>
      </c>
      <c r="G20" s="133"/>
      <c r="H20" s="133"/>
      <c r="I20" s="133"/>
      <c r="J20" s="133"/>
      <c r="K20" s="133"/>
      <c r="L20" s="133"/>
      <c r="M20" s="133"/>
      <c r="N20" s="133"/>
      <c r="O20" s="79">
        <v>4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61</v>
      </c>
      <c r="F21" s="132" t="s">
        <v>371</v>
      </c>
      <c r="G21" s="132"/>
      <c r="H21" s="132"/>
      <c r="I21" s="132"/>
      <c r="J21" s="132"/>
      <c r="K21" s="132"/>
      <c r="L21" s="132"/>
      <c r="M21" s="132"/>
      <c r="N21" s="132"/>
      <c r="O21" s="79">
        <v>2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62</v>
      </c>
      <c r="F22" s="132" t="s">
        <v>372</v>
      </c>
      <c r="G22" s="132"/>
      <c r="H22" s="132"/>
      <c r="I22" s="132"/>
      <c r="J22" s="132"/>
      <c r="K22" s="132"/>
      <c r="L22" s="132"/>
      <c r="M22" s="132"/>
      <c r="N22" s="132"/>
      <c r="O22" s="80">
        <v>3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14</v>
      </c>
      <c r="E23" s="41" t="s">
        <v>61</v>
      </c>
      <c r="F23" s="132" t="s">
        <v>373</v>
      </c>
      <c r="G23" s="132"/>
      <c r="H23" s="132"/>
      <c r="I23" s="132"/>
      <c r="J23" s="132"/>
      <c r="K23" s="132"/>
      <c r="L23" s="132"/>
      <c r="M23" s="132"/>
      <c r="N23" s="132"/>
      <c r="O23" s="85">
        <v>2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14</v>
      </c>
      <c r="E24" s="41" t="s">
        <v>62</v>
      </c>
      <c r="F24" s="132" t="s">
        <v>374</v>
      </c>
      <c r="G24" s="132"/>
      <c r="H24" s="132"/>
      <c r="I24" s="132"/>
      <c r="J24" s="132"/>
      <c r="K24" s="132"/>
      <c r="L24" s="132"/>
      <c r="M24" s="132"/>
      <c r="N24" s="132"/>
      <c r="O24" s="83">
        <v>4</v>
      </c>
    </row>
    <row r="25" spans="2:15" s="10" customFormat="1" ht="207" customHeight="1" x14ac:dyDescent="0.3">
      <c r="B25" s="42">
        <v>20</v>
      </c>
      <c r="C25" s="41">
        <f t="shared" si="0"/>
        <v>5</v>
      </c>
      <c r="D25" s="41" t="s">
        <v>14</v>
      </c>
      <c r="E25" s="41" t="s">
        <v>16</v>
      </c>
      <c r="F25" s="132" t="s">
        <v>63</v>
      </c>
      <c r="G25" s="132"/>
      <c r="H25" s="132"/>
      <c r="I25" s="132"/>
      <c r="J25" s="132"/>
      <c r="K25" s="132"/>
      <c r="L25" s="132"/>
      <c r="M25" s="132"/>
      <c r="N25" s="132"/>
      <c r="O25" s="86">
        <v>33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14</v>
      </c>
      <c r="E26" s="41" t="s">
        <v>16</v>
      </c>
      <c r="F26" s="132" t="s">
        <v>64</v>
      </c>
      <c r="G26" s="132"/>
      <c r="H26" s="132"/>
      <c r="I26" s="132"/>
      <c r="J26" s="132"/>
      <c r="K26" s="132"/>
      <c r="L26" s="132"/>
      <c r="M26" s="132"/>
      <c r="N26" s="132"/>
      <c r="O26" s="85" t="s">
        <v>65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14</v>
      </c>
      <c r="E27" s="41" t="s">
        <v>16</v>
      </c>
      <c r="F27" s="133" t="s">
        <v>66</v>
      </c>
      <c r="G27" s="133"/>
      <c r="H27" s="133"/>
      <c r="I27" s="133"/>
      <c r="J27" s="133"/>
      <c r="K27" s="133"/>
      <c r="L27" s="133"/>
      <c r="M27" s="133"/>
      <c r="N27" s="133"/>
      <c r="O27" s="83" t="s">
        <v>55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67</v>
      </c>
      <c r="E28" s="41" t="s">
        <v>16</v>
      </c>
      <c r="F28" s="132" t="s">
        <v>68</v>
      </c>
      <c r="G28" s="133"/>
      <c r="H28" s="133"/>
      <c r="I28" s="133"/>
      <c r="J28" s="133"/>
      <c r="K28" s="133"/>
      <c r="L28" s="133"/>
      <c r="M28" s="133"/>
      <c r="N28" s="133"/>
      <c r="O28" s="83" t="s">
        <v>57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14</v>
      </c>
      <c r="E29" s="41" t="s">
        <v>69</v>
      </c>
      <c r="F29" s="132" t="s">
        <v>70</v>
      </c>
      <c r="G29" s="132"/>
      <c r="H29" s="132"/>
      <c r="I29" s="132"/>
      <c r="J29" s="132"/>
      <c r="K29" s="132"/>
      <c r="L29" s="132"/>
      <c r="M29" s="132"/>
      <c r="N29" s="132"/>
      <c r="O29" s="83" t="s">
        <v>396</v>
      </c>
    </row>
    <row r="30" spans="2:15" s="10" customFormat="1" ht="207" customHeight="1" x14ac:dyDescent="0.3">
      <c r="B30" s="42">
        <v>25</v>
      </c>
      <c r="C30" s="41">
        <f t="shared" si="0"/>
        <v>2.5</v>
      </c>
      <c r="D30" s="41" t="s">
        <v>52</v>
      </c>
      <c r="E30" s="41" t="s">
        <v>278</v>
      </c>
      <c r="F30" s="132" t="s">
        <v>355</v>
      </c>
      <c r="G30" s="132"/>
      <c r="H30" s="132"/>
      <c r="I30" s="132"/>
      <c r="J30" s="132"/>
      <c r="K30" s="132"/>
      <c r="L30" s="132"/>
      <c r="M30" s="132"/>
      <c r="N30" s="132"/>
      <c r="O30" s="80">
        <v>3</v>
      </c>
    </row>
    <row r="31" spans="2:15" s="10" customFormat="1" ht="207" customHeight="1" x14ac:dyDescent="0.3">
      <c r="B31" s="42">
        <v>26</v>
      </c>
      <c r="C31" s="41">
        <f t="shared" ref="C31:C37" si="1">IF(E30="공통",2.5,IF(E30="객관식",4,IF(E30="주관식",5,"")))</f>
        <v>2.5</v>
      </c>
      <c r="D31" s="41" t="s">
        <v>52</v>
      </c>
      <c r="E31" s="41" t="s">
        <v>25</v>
      </c>
      <c r="F31" s="132" t="s">
        <v>356</v>
      </c>
      <c r="G31" s="132"/>
      <c r="H31" s="132"/>
      <c r="I31" s="132"/>
      <c r="J31" s="132"/>
      <c r="K31" s="132"/>
      <c r="L31" s="132"/>
      <c r="M31" s="132"/>
      <c r="N31" s="132"/>
      <c r="O31" s="80">
        <v>3</v>
      </c>
    </row>
    <row r="32" spans="2:15" s="10" customFormat="1" ht="207" customHeight="1" x14ac:dyDescent="0.3">
      <c r="B32" s="42">
        <v>27</v>
      </c>
      <c r="C32" s="41">
        <f t="shared" si="1"/>
        <v>2.5</v>
      </c>
      <c r="D32" s="41" t="s">
        <v>52</v>
      </c>
      <c r="E32" s="41" t="s">
        <v>2</v>
      </c>
      <c r="F32" s="132" t="s">
        <v>375</v>
      </c>
      <c r="G32" s="132"/>
      <c r="H32" s="132"/>
      <c r="I32" s="132"/>
      <c r="J32" s="132"/>
      <c r="K32" s="132"/>
      <c r="L32" s="132"/>
      <c r="M32" s="132"/>
      <c r="N32" s="132"/>
      <c r="O32" s="80">
        <v>2</v>
      </c>
    </row>
    <row r="33" spans="2:15" s="10" customFormat="1" ht="207" customHeight="1" x14ac:dyDescent="0.3">
      <c r="B33" s="42">
        <v>28</v>
      </c>
      <c r="C33" s="41">
        <f t="shared" si="1"/>
        <v>4</v>
      </c>
      <c r="D33" s="41" t="s">
        <v>52</v>
      </c>
      <c r="E33" s="41" t="s">
        <v>3</v>
      </c>
      <c r="F33" s="132" t="s">
        <v>280</v>
      </c>
      <c r="G33" s="132"/>
      <c r="H33" s="132"/>
      <c r="I33" s="132"/>
      <c r="J33" s="132"/>
      <c r="K33" s="132"/>
      <c r="L33" s="132"/>
      <c r="M33" s="132"/>
      <c r="N33" s="132"/>
      <c r="O33" s="83" t="s">
        <v>279</v>
      </c>
    </row>
    <row r="34" spans="2:15" s="10" customFormat="1" ht="207" customHeight="1" x14ac:dyDescent="0.3">
      <c r="B34" s="42">
        <v>29</v>
      </c>
      <c r="C34" s="41">
        <f t="shared" si="1"/>
        <v>5</v>
      </c>
      <c r="D34" s="41" t="s">
        <v>52</v>
      </c>
      <c r="E34" s="41" t="s">
        <v>2</v>
      </c>
      <c r="F34" s="132" t="s">
        <v>376</v>
      </c>
      <c r="G34" s="132"/>
      <c r="H34" s="132"/>
      <c r="I34" s="132"/>
      <c r="J34" s="132"/>
      <c r="K34" s="132"/>
      <c r="L34" s="132"/>
      <c r="M34" s="132"/>
      <c r="N34" s="132"/>
      <c r="O34" s="83">
        <v>4</v>
      </c>
    </row>
    <row r="35" spans="2:15" s="10" customFormat="1" ht="207" customHeight="1" x14ac:dyDescent="0.3">
      <c r="B35" s="42">
        <v>30</v>
      </c>
      <c r="C35" s="41">
        <f t="shared" si="1"/>
        <v>4</v>
      </c>
      <c r="D35" s="41" t="s">
        <v>52</v>
      </c>
      <c r="E35" s="41" t="s">
        <v>2</v>
      </c>
      <c r="F35" s="132" t="s">
        <v>377</v>
      </c>
      <c r="G35" s="132"/>
      <c r="H35" s="132"/>
      <c r="I35" s="132"/>
      <c r="J35" s="132"/>
      <c r="K35" s="132"/>
      <c r="L35" s="132"/>
      <c r="M35" s="132"/>
      <c r="N35" s="132"/>
      <c r="O35" s="83" t="s">
        <v>281</v>
      </c>
    </row>
    <row r="36" spans="2:15" s="10" customFormat="1" ht="207" customHeight="1" x14ac:dyDescent="0.3">
      <c r="B36" s="42">
        <v>31</v>
      </c>
      <c r="C36" s="41">
        <f t="shared" si="1"/>
        <v>4</v>
      </c>
      <c r="D36" s="41" t="s">
        <v>52</v>
      </c>
      <c r="E36" s="41" t="s">
        <v>3</v>
      </c>
      <c r="F36" s="132" t="s">
        <v>282</v>
      </c>
      <c r="G36" s="132"/>
      <c r="H36" s="132"/>
      <c r="I36" s="132"/>
      <c r="J36" s="132"/>
      <c r="K36" s="132"/>
      <c r="L36" s="132"/>
      <c r="M36" s="132"/>
      <c r="N36" s="132"/>
      <c r="O36" s="80" t="s">
        <v>283</v>
      </c>
    </row>
    <row r="37" spans="2:15" s="10" customFormat="1" ht="207" customHeight="1" x14ac:dyDescent="0.3">
      <c r="B37" s="42">
        <v>32</v>
      </c>
      <c r="C37" s="41">
        <f t="shared" si="1"/>
        <v>5</v>
      </c>
      <c r="D37" s="41" t="s">
        <v>52</v>
      </c>
      <c r="E37" s="41" t="s">
        <v>3</v>
      </c>
      <c r="F37" s="132" t="s">
        <v>284</v>
      </c>
      <c r="G37" s="132"/>
      <c r="H37" s="132"/>
      <c r="I37" s="132"/>
      <c r="J37" s="132"/>
      <c r="K37" s="132"/>
      <c r="L37" s="132"/>
      <c r="M37" s="132"/>
      <c r="N37" s="132"/>
      <c r="O37" s="80" t="s">
        <v>285</v>
      </c>
    </row>
    <row r="38" spans="2:15" s="10" customFormat="1" ht="207" customHeight="1" x14ac:dyDescent="0.3">
      <c r="B38" s="42">
        <v>33</v>
      </c>
      <c r="C38" s="41">
        <f t="shared" ref="C38:C39" si="2">IF(E38="공통",2.5,IF(E38="객관식",4,IF(E38="주관식",5,"")))</f>
        <v>4</v>
      </c>
      <c r="D38" s="41" t="s">
        <v>14</v>
      </c>
      <c r="E38" s="41" t="s">
        <v>2</v>
      </c>
      <c r="F38" s="132" t="s">
        <v>510</v>
      </c>
      <c r="G38" s="132"/>
      <c r="H38" s="132"/>
      <c r="I38" s="132"/>
      <c r="J38" s="132"/>
      <c r="K38" s="132"/>
      <c r="L38" s="132"/>
      <c r="M38" s="132"/>
      <c r="N38" s="132"/>
      <c r="O38" s="80">
        <v>4</v>
      </c>
    </row>
    <row r="39" spans="2:15" s="10" customFormat="1" ht="207" customHeight="1" x14ac:dyDescent="0.3">
      <c r="B39" s="42">
        <v>34</v>
      </c>
      <c r="C39" s="41">
        <f t="shared" si="2"/>
        <v>4</v>
      </c>
      <c r="D39" s="41" t="s">
        <v>14</v>
      </c>
      <c r="E39" s="41" t="s">
        <v>2</v>
      </c>
      <c r="F39" s="132" t="s">
        <v>511</v>
      </c>
      <c r="G39" s="132"/>
      <c r="H39" s="132"/>
      <c r="I39" s="132"/>
      <c r="J39" s="132"/>
      <c r="K39" s="132"/>
      <c r="L39" s="132"/>
      <c r="M39" s="132"/>
      <c r="N39" s="132"/>
      <c r="O39" s="80">
        <v>1</v>
      </c>
    </row>
  </sheetData>
  <mergeCells count="37">
    <mergeCell ref="F38:N38"/>
    <mergeCell ref="F39:N39"/>
    <mergeCell ref="F37:N37"/>
    <mergeCell ref="F27:N27"/>
    <mergeCell ref="F28:N28"/>
    <mergeCell ref="F29:N29"/>
    <mergeCell ref="F30:N30"/>
    <mergeCell ref="F31:N31"/>
    <mergeCell ref="F32:N32"/>
    <mergeCell ref="F33:N33"/>
    <mergeCell ref="F34:N34"/>
    <mergeCell ref="F35:N35"/>
    <mergeCell ref="F36:N36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B2:O40"/>
  <sheetViews>
    <sheetView showGridLines="0" topLeftCell="A29" zoomScale="40" zoomScaleNormal="40" zoomScaleSheetLayoutView="55" workbookViewId="0">
      <selection activeCell="F33" sqref="F33:N33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" width="31.875" style="2" customWidth="1"/>
    <col min="17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24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13"/>
      <c r="H4" s="13"/>
      <c r="I4" s="13"/>
      <c r="J4" s="13"/>
      <c r="K4" s="13"/>
      <c r="L4" s="13"/>
      <c r="M4" s="13"/>
      <c r="N4" s="13"/>
    </row>
    <row r="5" spans="2:15" ht="49.5" customHeight="1" x14ac:dyDescent="0.3">
      <c r="B5" s="36" t="s">
        <v>0</v>
      </c>
      <c r="C5" s="37" t="s">
        <v>20</v>
      </c>
      <c r="D5" s="37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52</v>
      </c>
      <c r="E6" s="41" t="s">
        <v>2</v>
      </c>
      <c r="F6" s="132" t="s">
        <v>509</v>
      </c>
      <c r="G6" s="133"/>
      <c r="H6" s="133"/>
      <c r="I6" s="133"/>
      <c r="J6" s="133"/>
      <c r="K6" s="133"/>
      <c r="L6" s="133"/>
      <c r="M6" s="133"/>
      <c r="N6" s="133"/>
      <c r="O6" s="79">
        <v>4</v>
      </c>
    </row>
    <row r="7" spans="2:15" s="10" customFormat="1" ht="206.25" customHeight="1" x14ac:dyDescent="0.3">
      <c r="B7" s="42">
        <v>2</v>
      </c>
      <c r="C7" s="41">
        <f t="shared" ref="C7:C40" si="0">IF(E7="공통",2.5,IF(E7="객관식",4,IF(E7="주관식",5,"")))</f>
        <v>5</v>
      </c>
      <c r="D7" s="41" t="s">
        <v>52</v>
      </c>
      <c r="E7" s="41" t="s">
        <v>3</v>
      </c>
      <c r="F7" s="132" t="s">
        <v>72</v>
      </c>
      <c r="G7" s="132"/>
      <c r="H7" s="132"/>
      <c r="I7" s="132"/>
      <c r="J7" s="132"/>
      <c r="K7" s="132"/>
      <c r="L7" s="132"/>
      <c r="M7" s="132"/>
      <c r="N7" s="132"/>
      <c r="O7" s="79" t="s">
        <v>15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52</v>
      </c>
      <c r="E8" s="41" t="s">
        <v>2</v>
      </c>
      <c r="F8" s="132" t="s">
        <v>331</v>
      </c>
      <c r="G8" s="132"/>
      <c r="H8" s="132"/>
      <c r="I8" s="132"/>
      <c r="J8" s="132"/>
      <c r="K8" s="132"/>
      <c r="L8" s="132"/>
      <c r="M8" s="132"/>
      <c r="N8" s="132"/>
      <c r="O8" s="80">
        <v>3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52</v>
      </c>
      <c r="E9" s="41" t="s">
        <v>2</v>
      </c>
      <c r="F9" s="132" t="s">
        <v>332</v>
      </c>
      <c r="G9" s="132"/>
      <c r="H9" s="132"/>
      <c r="I9" s="132"/>
      <c r="J9" s="132"/>
      <c r="K9" s="132"/>
      <c r="L9" s="132"/>
      <c r="M9" s="132"/>
      <c r="N9" s="132"/>
      <c r="O9" s="80">
        <v>2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52</v>
      </c>
      <c r="E10" s="41" t="s">
        <v>2</v>
      </c>
      <c r="F10" s="132" t="s">
        <v>333</v>
      </c>
      <c r="G10" s="132"/>
      <c r="H10" s="132"/>
      <c r="I10" s="132"/>
      <c r="J10" s="132"/>
      <c r="K10" s="132"/>
      <c r="L10" s="132"/>
      <c r="M10" s="132"/>
      <c r="N10" s="132"/>
      <c r="O10" s="79">
        <v>4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52</v>
      </c>
      <c r="E11" s="41" t="s">
        <v>2</v>
      </c>
      <c r="F11" s="132" t="s">
        <v>334</v>
      </c>
      <c r="G11" s="132"/>
      <c r="H11" s="132"/>
      <c r="I11" s="132"/>
      <c r="J11" s="132"/>
      <c r="K11" s="132"/>
      <c r="L11" s="132"/>
      <c r="M11" s="132"/>
      <c r="N11" s="132"/>
      <c r="O11" s="79">
        <v>2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52</v>
      </c>
      <c r="E12" s="41" t="s">
        <v>2</v>
      </c>
      <c r="F12" s="132" t="s">
        <v>335</v>
      </c>
      <c r="G12" s="132"/>
      <c r="H12" s="132"/>
      <c r="I12" s="132"/>
      <c r="J12" s="132"/>
      <c r="K12" s="132"/>
      <c r="L12" s="132"/>
      <c r="M12" s="132"/>
      <c r="N12" s="132"/>
      <c r="O12" s="79">
        <v>2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52</v>
      </c>
      <c r="E13" s="41" t="s">
        <v>2</v>
      </c>
      <c r="F13" s="132" t="s">
        <v>336</v>
      </c>
      <c r="G13" s="132"/>
      <c r="H13" s="132"/>
      <c r="I13" s="132"/>
      <c r="J13" s="132"/>
      <c r="K13" s="132"/>
      <c r="L13" s="132"/>
      <c r="M13" s="132"/>
      <c r="N13" s="132"/>
      <c r="O13" s="79">
        <v>2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52</v>
      </c>
      <c r="E14" s="41" t="s">
        <v>2</v>
      </c>
      <c r="F14" s="132" t="s">
        <v>337</v>
      </c>
      <c r="G14" s="132"/>
      <c r="H14" s="132"/>
      <c r="I14" s="132"/>
      <c r="J14" s="132"/>
      <c r="K14" s="132"/>
      <c r="L14" s="132"/>
      <c r="M14" s="132"/>
      <c r="N14" s="132"/>
      <c r="O14" s="80">
        <v>2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52</v>
      </c>
      <c r="E15" s="41" t="s">
        <v>2</v>
      </c>
      <c r="F15" s="132" t="s">
        <v>338</v>
      </c>
      <c r="G15" s="132"/>
      <c r="H15" s="132"/>
      <c r="I15" s="132"/>
      <c r="J15" s="132"/>
      <c r="K15" s="132"/>
      <c r="L15" s="132"/>
      <c r="M15" s="132"/>
      <c r="N15" s="132"/>
      <c r="O15" s="80">
        <v>3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52</v>
      </c>
      <c r="E16" s="41" t="s">
        <v>2</v>
      </c>
      <c r="F16" s="132" t="s">
        <v>339</v>
      </c>
      <c r="G16" s="132"/>
      <c r="H16" s="132"/>
      <c r="I16" s="132"/>
      <c r="J16" s="132"/>
      <c r="K16" s="132"/>
      <c r="L16" s="132"/>
      <c r="M16" s="132"/>
      <c r="N16" s="132"/>
      <c r="O16" s="80">
        <v>2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52</v>
      </c>
      <c r="E17" s="41" t="s">
        <v>2</v>
      </c>
      <c r="F17" s="132" t="s">
        <v>340</v>
      </c>
      <c r="G17" s="132"/>
      <c r="H17" s="132"/>
      <c r="I17" s="132"/>
      <c r="J17" s="132"/>
      <c r="K17" s="132"/>
      <c r="L17" s="132"/>
      <c r="M17" s="132"/>
      <c r="N17" s="132"/>
      <c r="O17" s="81">
        <v>3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52</v>
      </c>
      <c r="E18" s="41" t="s">
        <v>2</v>
      </c>
      <c r="F18" s="132" t="s">
        <v>341</v>
      </c>
      <c r="G18" s="132"/>
      <c r="H18" s="132"/>
      <c r="I18" s="132"/>
      <c r="J18" s="132"/>
      <c r="K18" s="132"/>
      <c r="L18" s="132"/>
      <c r="M18" s="132"/>
      <c r="N18" s="132"/>
      <c r="O18" s="82">
        <v>4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52</v>
      </c>
      <c r="E19" s="41" t="s">
        <v>2</v>
      </c>
      <c r="F19" s="132" t="s">
        <v>342</v>
      </c>
      <c r="G19" s="132"/>
      <c r="H19" s="132"/>
      <c r="I19" s="132"/>
      <c r="J19" s="132"/>
      <c r="K19" s="132"/>
      <c r="L19" s="132"/>
      <c r="M19" s="132"/>
      <c r="N19" s="132"/>
      <c r="O19" s="79">
        <v>2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52</v>
      </c>
      <c r="E20" s="41" t="s">
        <v>2</v>
      </c>
      <c r="F20" s="132" t="s">
        <v>343</v>
      </c>
      <c r="G20" s="132"/>
      <c r="H20" s="132"/>
      <c r="I20" s="132"/>
      <c r="J20" s="132"/>
      <c r="K20" s="132"/>
      <c r="L20" s="132"/>
      <c r="M20" s="132"/>
      <c r="N20" s="132"/>
      <c r="O20" s="79">
        <v>1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52</v>
      </c>
      <c r="E21" s="41" t="s">
        <v>2</v>
      </c>
      <c r="F21" s="132" t="s">
        <v>344</v>
      </c>
      <c r="G21" s="132"/>
      <c r="H21" s="132"/>
      <c r="I21" s="132"/>
      <c r="J21" s="132"/>
      <c r="K21" s="132"/>
      <c r="L21" s="132"/>
      <c r="M21" s="132"/>
      <c r="N21" s="132"/>
      <c r="O21" s="79">
        <v>2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52</v>
      </c>
      <c r="E22" s="41" t="s">
        <v>2</v>
      </c>
      <c r="F22" s="132" t="s">
        <v>345</v>
      </c>
      <c r="G22" s="132"/>
      <c r="H22" s="132"/>
      <c r="I22" s="132"/>
      <c r="J22" s="132"/>
      <c r="K22" s="132"/>
      <c r="L22" s="132"/>
      <c r="M22" s="132"/>
      <c r="N22" s="132"/>
      <c r="O22" s="79">
        <v>2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52</v>
      </c>
      <c r="E23" s="41" t="s">
        <v>2</v>
      </c>
      <c r="F23" s="132" t="s">
        <v>346</v>
      </c>
      <c r="G23" s="132"/>
      <c r="H23" s="132"/>
      <c r="I23" s="132"/>
      <c r="J23" s="132"/>
      <c r="K23" s="132"/>
      <c r="L23" s="132"/>
      <c r="M23" s="132"/>
      <c r="N23" s="132"/>
      <c r="O23" s="79">
        <v>2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52</v>
      </c>
      <c r="E24" s="41" t="s">
        <v>2</v>
      </c>
      <c r="F24" s="132" t="s">
        <v>347</v>
      </c>
      <c r="G24" s="132"/>
      <c r="H24" s="132"/>
      <c r="I24" s="132"/>
      <c r="J24" s="132"/>
      <c r="K24" s="132"/>
      <c r="L24" s="132"/>
      <c r="M24" s="132"/>
      <c r="N24" s="132"/>
      <c r="O24" s="83">
        <v>3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52</v>
      </c>
      <c r="E25" s="41" t="s">
        <v>2</v>
      </c>
      <c r="F25" s="132" t="s">
        <v>348</v>
      </c>
      <c r="G25" s="132"/>
      <c r="H25" s="132"/>
      <c r="I25" s="132"/>
      <c r="J25" s="132"/>
      <c r="K25" s="132"/>
      <c r="L25" s="132"/>
      <c r="M25" s="132"/>
      <c r="N25" s="132"/>
      <c r="O25" s="79">
        <v>3</v>
      </c>
    </row>
    <row r="26" spans="2:15" s="10" customFormat="1" ht="207" customHeight="1" x14ac:dyDescent="0.3">
      <c r="B26" s="42">
        <v>21</v>
      </c>
      <c r="C26" s="41">
        <f t="shared" si="0"/>
        <v>4</v>
      </c>
      <c r="D26" s="41" t="s">
        <v>52</v>
      </c>
      <c r="E26" s="41" t="s">
        <v>2</v>
      </c>
      <c r="F26" s="132" t="s">
        <v>349</v>
      </c>
      <c r="G26" s="133"/>
      <c r="H26" s="133"/>
      <c r="I26" s="133"/>
      <c r="J26" s="133"/>
      <c r="K26" s="133"/>
      <c r="L26" s="133"/>
      <c r="M26" s="133"/>
      <c r="N26" s="133"/>
      <c r="O26" s="79">
        <v>2</v>
      </c>
    </row>
    <row r="27" spans="2:15" s="10" customFormat="1" ht="207" customHeight="1" x14ac:dyDescent="0.3">
      <c r="B27" s="42">
        <v>22</v>
      </c>
      <c r="C27" s="41">
        <f t="shared" si="0"/>
        <v>4</v>
      </c>
      <c r="D27" s="41" t="s">
        <v>52</v>
      </c>
      <c r="E27" s="41" t="s">
        <v>2</v>
      </c>
      <c r="F27" s="132" t="s">
        <v>350</v>
      </c>
      <c r="G27" s="133"/>
      <c r="H27" s="133"/>
      <c r="I27" s="133"/>
      <c r="J27" s="133"/>
      <c r="K27" s="133"/>
      <c r="L27" s="133"/>
      <c r="M27" s="133"/>
      <c r="N27" s="133"/>
      <c r="O27" s="79">
        <v>1</v>
      </c>
    </row>
    <row r="28" spans="2:15" s="10" customFormat="1" ht="207" customHeight="1" x14ac:dyDescent="0.3">
      <c r="B28" s="42">
        <v>23</v>
      </c>
      <c r="C28" s="41">
        <f t="shared" si="0"/>
        <v>2.5</v>
      </c>
      <c r="D28" s="44" t="s">
        <v>52</v>
      </c>
      <c r="E28" s="41" t="s">
        <v>25</v>
      </c>
      <c r="F28" s="132" t="s">
        <v>937</v>
      </c>
      <c r="G28" s="132"/>
      <c r="H28" s="132"/>
      <c r="I28" s="132"/>
      <c r="J28" s="132"/>
      <c r="K28" s="132"/>
      <c r="L28" s="132"/>
      <c r="M28" s="132"/>
      <c r="N28" s="132"/>
      <c r="O28" s="80" t="s">
        <v>53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52</v>
      </c>
      <c r="E29" s="41" t="s">
        <v>3</v>
      </c>
      <c r="F29" s="132" t="s">
        <v>904</v>
      </c>
      <c r="G29" s="132"/>
      <c r="H29" s="132"/>
      <c r="I29" s="132"/>
      <c r="J29" s="132"/>
      <c r="K29" s="132"/>
      <c r="L29" s="132"/>
      <c r="M29" s="132"/>
      <c r="N29" s="132"/>
      <c r="O29" s="80" t="s">
        <v>54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52</v>
      </c>
      <c r="E30" s="41" t="s">
        <v>3</v>
      </c>
      <c r="F30" s="132" t="s">
        <v>73</v>
      </c>
      <c r="G30" s="132"/>
      <c r="H30" s="132"/>
      <c r="I30" s="132"/>
      <c r="J30" s="132"/>
      <c r="K30" s="132"/>
      <c r="L30" s="132"/>
      <c r="M30" s="132"/>
      <c r="N30" s="132"/>
      <c r="O30" s="80" t="s">
        <v>17</v>
      </c>
    </row>
    <row r="31" spans="2:15" s="10" customFormat="1" ht="207" customHeight="1" x14ac:dyDescent="0.3">
      <c r="B31" s="42">
        <v>26</v>
      </c>
      <c r="C31" s="41">
        <f t="shared" si="0"/>
        <v>5</v>
      </c>
      <c r="D31" s="41" t="s">
        <v>52</v>
      </c>
      <c r="E31" s="41" t="s">
        <v>3</v>
      </c>
      <c r="F31" s="132" t="s">
        <v>74</v>
      </c>
      <c r="G31" s="132"/>
      <c r="H31" s="132"/>
      <c r="I31" s="132"/>
      <c r="J31" s="132"/>
      <c r="K31" s="132"/>
      <c r="L31" s="132"/>
      <c r="M31" s="132"/>
      <c r="N31" s="132"/>
      <c r="O31" s="80" t="s">
        <v>55</v>
      </c>
    </row>
    <row r="32" spans="2:15" s="10" customFormat="1" ht="207" customHeight="1" x14ac:dyDescent="0.3">
      <c r="B32" s="42">
        <v>27</v>
      </c>
      <c r="C32" s="41">
        <f t="shared" si="0"/>
        <v>5</v>
      </c>
      <c r="D32" s="41" t="s">
        <v>52</v>
      </c>
      <c r="E32" s="41" t="s">
        <v>3</v>
      </c>
      <c r="F32" s="132" t="s">
        <v>56</v>
      </c>
      <c r="G32" s="132"/>
      <c r="H32" s="132"/>
      <c r="I32" s="132"/>
      <c r="J32" s="132"/>
      <c r="K32" s="132"/>
      <c r="L32" s="132"/>
      <c r="M32" s="132"/>
      <c r="N32" s="132"/>
      <c r="O32" s="80" t="s">
        <v>57</v>
      </c>
    </row>
    <row r="33" spans="2:15" s="10" customFormat="1" ht="207" customHeight="1" x14ac:dyDescent="0.3">
      <c r="B33" s="42">
        <v>28</v>
      </c>
      <c r="C33" s="41">
        <f t="shared" si="0"/>
        <v>4</v>
      </c>
      <c r="D33" s="41" t="s">
        <v>52</v>
      </c>
      <c r="E33" s="41" t="s">
        <v>2</v>
      </c>
      <c r="F33" s="132" t="s">
        <v>351</v>
      </c>
      <c r="G33" s="132"/>
      <c r="H33" s="132"/>
      <c r="I33" s="132"/>
      <c r="J33" s="132"/>
      <c r="K33" s="132"/>
      <c r="L33" s="132"/>
      <c r="M33" s="132"/>
      <c r="N33" s="132"/>
      <c r="O33" s="80">
        <v>3</v>
      </c>
    </row>
    <row r="34" spans="2:15" s="10" customFormat="1" ht="207" customHeight="1" x14ac:dyDescent="0.3">
      <c r="B34" s="42">
        <v>29</v>
      </c>
      <c r="C34" s="41">
        <f t="shared" si="0"/>
        <v>4</v>
      </c>
      <c r="D34" s="41" t="s">
        <v>52</v>
      </c>
      <c r="E34" s="41" t="s">
        <v>2</v>
      </c>
      <c r="F34" s="132" t="s">
        <v>352</v>
      </c>
      <c r="G34" s="132"/>
      <c r="H34" s="132"/>
      <c r="I34" s="132"/>
      <c r="J34" s="132"/>
      <c r="K34" s="132"/>
      <c r="L34" s="132"/>
      <c r="M34" s="132"/>
      <c r="N34" s="132"/>
      <c r="O34" s="80">
        <v>3</v>
      </c>
    </row>
    <row r="35" spans="2:15" s="10" customFormat="1" ht="207" customHeight="1" x14ac:dyDescent="0.3">
      <c r="B35" s="42">
        <v>30</v>
      </c>
      <c r="C35" s="41">
        <f t="shared" si="0"/>
        <v>4</v>
      </c>
      <c r="D35" s="41" t="s">
        <v>52</v>
      </c>
      <c r="E35" s="41" t="s">
        <v>2</v>
      </c>
      <c r="F35" s="132" t="s">
        <v>353</v>
      </c>
      <c r="G35" s="132"/>
      <c r="H35" s="132"/>
      <c r="I35" s="132"/>
      <c r="J35" s="132"/>
      <c r="K35" s="132"/>
      <c r="L35" s="132"/>
      <c r="M35" s="132"/>
      <c r="N35" s="132"/>
      <c r="O35" s="80">
        <v>1</v>
      </c>
    </row>
    <row r="36" spans="2:15" s="10" customFormat="1" ht="207" customHeight="1" x14ac:dyDescent="0.3">
      <c r="B36" s="42">
        <v>31</v>
      </c>
      <c r="C36" s="41">
        <f t="shared" si="0"/>
        <v>5</v>
      </c>
      <c r="D36" s="41" t="s">
        <v>52</v>
      </c>
      <c r="E36" s="41" t="s">
        <v>3</v>
      </c>
      <c r="F36" s="132" t="s">
        <v>288</v>
      </c>
      <c r="G36" s="132"/>
      <c r="H36" s="132"/>
      <c r="I36" s="132"/>
      <c r="J36" s="132"/>
      <c r="K36" s="132"/>
      <c r="L36" s="132"/>
      <c r="M36" s="132"/>
      <c r="N36" s="132"/>
      <c r="O36" s="83" t="s">
        <v>287</v>
      </c>
    </row>
    <row r="37" spans="2:15" s="10" customFormat="1" ht="207" customHeight="1" x14ac:dyDescent="0.3">
      <c r="B37" s="42">
        <v>32</v>
      </c>
      <c r="C37" s="41">
        <f t="shared" si="0"/>
        <v>4</v>
      </c>
      <c r="D37" s="41" t="s">
        <v>52</v>
      </c>
      <c r="E37" s="41" t="s">
        <v>2</v>
      </c>
      <c r="F37" s="132" t="s">
        <v>354</v>
      </c>
      <c r="G37" s="132"/>
      <c r="H37" s="132"/>
      <c r="I37" s="132"/>
      <c r="J37" s="132"/>
      <c r="K37" s="132"/>
      <c r="L37" s="132"/>
      <c r="M37" s="132"/>
      <c r="N37" s="132"/>
      <c r="O37" s="80">
        <v>2</v>
      </c>
    </row>
    <row r="38" spans="2:15" s="10" customFormat="1" ht="207" customHeight="1" x14ac:dyDescent="0.3">
      <c r="B38" s="42">
        <v>33</v>
      </c>
      <c r="C38" s="41">
        <f t="shared" si="0"/>
        <v>5</v>
      </c>
      <c r="D38" s="41" t="s">
        <v>52</v>
      </c>
      <c r="E38" s="41" t="s">
        <v>3</v>
      </c>
      <c r="F38" s="132" t="s">
        <v>286</v>
      </c>
      <c r="G38" s="132"/>
      <c r="H38" s="132"/>
      <c r="I38" s="132"/>
      <c r="J38" s="132"/>
      <c r="K38" s="132"/>
      <c r="L38" s="132"/>
      <c r="M38" s="132"/>
      <c r="N38" s="132"/>
      <c r="O38" s="80" t="s">
        <v>287</v>
      </c>
    </row>
    <row r="39" spans="2:15" s="10" customFormat="1" ht="207" customHeight="1" x14ac:dyDescent="0.3">
      <c r="B39" s="42">
        <v>44</v>
      </c>
      <c r="C39" s="41">
        <f t="shared" si="0"/>
        <v>2.5</v>
      </c>
      <c r="D39" s="41" t="s">
        <v>52</v>
      </c>
      <c r="E39" s="41" t="s">
        <v>25</v>
      </c>
      <c r="F39" s="132" t="s">
        <v>355</v>
      </c>
      <c r="G39" s="132"/>
      <c r="H39" s="132"/>
      <c r="I39" s="132"/>
      <c r="J39" s="132"/>
      <c r="K39" s="132"/>
      <c r="L39" s="132"/>
      <c r="M39" s="132"/>
      <c r="N39" s="132"/>
      <c r="O39" s="80">
        <v>3</v>
      </c>
    </row>
    <row r="40" spans="2:15" s="10" customFormat="1" ht="207" customHeight="1" x14ac:dyDescent="0.3">
      <c r="B40" s="43">
        <v>45</v>
      </c>
      <c r="C40" s="44">
        <f t="shared" si="0"/>
        <v>2.5</v>
      </c>
      <c r="D40" s="44" t="s">
        <v>52</v>
      </c>
      <c r="E40" s="44" t="s">
        <v>25</v>
      </c>
      <c r="F40" s="134" t="s">
        <v>356</v>
      </c>
      <c r="G40" s="134"/>
      <c r="H40" s="134"/>
      <c r="I40" s="134"/>
      <c r="J40" s="134"/>
      <c r="K40" s="134"/>
      <c r="L40" s="134"/>
      <c r="M40" s="134"/>
      <c r="N40" s="134"/>
      <c r="O40" s="84">
        <v>3</v>
      </c>
    </row>
  </sheetData>
  <mergeCells count="38">
    <mergeCell ref="F31:N31"/>
    <mergeCell ref="F32:N32"/>
    <mergeCell ref="F33:N33"/>
    <mergeCell ref="F34:N34"/>
    <mergeCell ref="F35:N35"/>
    <mergeCell ref="F36:N36"/>
    <mergeCell ref="F37:N37"/>
    <mergeCell ref="F38:N38"/>
    <mergeCell ref="F40:N40"/>
    <mergeCell ref="F39:N39"/>
    <mergeCell ref="F26:N26"/>
    <mergeCell ref="F29:N29"/>
    <mergeCell ref="F28:N28"/>
    <mergeCell ref="F30:N30"/>
    <mergeCell ref="F24:N24"/>
    <mergeCell ref="F27:N27"/>
    <mergeCell ref="F23:N23"/>
    <mergeCell ref="F22:N22"/>
    <mergeCell ref="F21:N21"/>
    <mergeCell ref="F25:N25"/>
    <mergeCell ref="F14:N14"/>
    <mergeCell ref="F13:N13"/>
    <mergeCell ref="F12:N12"/>
    <mergeCell ref="F11:N11"/>
    <mergeCell ref="F20:N20"/>
    <mergeCell ref="F19:N19"/>
    <mergeCell ref="F18:N18"/>
    <mergeCell ref="F17:N17"/>
    <mergeCell ref="F16:N16"/>
    <mergeCell ref="F15:N15"/>
    <mergeCell ref="C4:F4"/>
    <mergeCell ref="B3:O3"/>
    <mergeCell ref="F7:N7"/>
    <mergeCell ref="F6:N6"/>
    <mergeCell ref="F10:N10"/>
    <mergeCell ref="F9:N9"/>
    <mergeCell ref="F8:N8"/>
    <mergeCell ref="F5:N5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B2:O34"/>
  <sheetViews>
    <sheetView showGridLines="0" topLeftCell="A28" zoomScale="40" zoomScaleNormal="40" zoomScaleSheetLayoutView="55" workbookViewId="0">
      <selection activeCell="X31" sqref="X31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216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54"/>
      <c r="H4" s="54"/>
      <c r="I4" s="54"/>
      <c r="J4" s="54"/>
      <c r="K4" s="54"/>
      <c r="L4" s="54"/>
      <c r="M4" s="54"/>
      <c r="N4" s="54"/>
    </row>
    <row r="5" spans="2:15" ht="49.5" customHeight="1" x14ac:dyDescent="0.3">
      <c r="B5" s="36" t="s">
        <v>0</v>
      </c>
      <c r="C5" s="55" t="s">
        <v>20</v>
      </c>
      <c r="D5" s="55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61</v>
      </c>
      <c r="F6" s="132" t="s">
        <v>379</v>
      </c>
      <c r="G6" s="132"/>
      <c r="H6" s="132"/>
      <c r="I6" s="132"/>
      <c r="J6" s="132"/>
      <c r="K6" s="132"/>
      <c r="L6" s="132"/>
      <c r="M6" s="132"/>
      <c r="N6" s="132"/>
      <c r="O6" s="87">
        <v>4</v>
      </c>
    </row>
    <row r="7" spans="2:15" s="10" customFormat="1" ht="206.25" customHeight="1" x14ac:dyDescent="0.3">
      <c r="B7" s="42">
        <v>2</v>
      </c>
      <c r="C7" s="41">
        <f t="shared" ref="C7:C34" si="0">IF(E7="공통",2.5,IF(E7="객관식",4,IF(E7="주관식",5,"")))</f>
        <v>4</v>
      </c>
      <c r="D7" s="41" t="s">
        <v>14</v>
      </c>
      <c r="E7" s="41" t="s">
        <v>61</v>
      </c>
      <c r="F7" s="132" t="s">
        <v>380</v>
      </c>
      <c r="G7" s="133"/>
      <c r="H7" s="133"/>
      <c r="I7" s="133"/>
      <c r="J7" s="133"/>
      <c r="K7" s="133"/>
      <c r="L7" s="133"/>
      <c r="M7" s="133"/>
      <c r="N7" s="133"/>
      <c r="O7" s="87">
        <v>4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14</v>
      </c>
      <c r="E8" s="41" t="s">
        <v>61</v>
      </c>
      <c r="F8" s="132" t="s">
        <v>381</v>
      </c>
      <c r="G8" s="132"/>
      <c r="H8" s="132"/>
      <c r="I8" s="132"/>
      <c r="J8" s="132"/>
      <c r="K8" s="132"/>
      <c r="L8" s="132"/>
      <c r="M8" s="132"/>
      <c r="N8" s="132"/>
      <c r="O8" s="75">
        <v>3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14</v>
      </c>
      <c r="E9" s="41" t="s">
        <v>61</v>
      </c>
      <c r="F9" s="132" t="s">
        <v>382</v>
      </c>
      <c r="G9" s="132"/>
      <c r="H9" s="132"/>
      <c r="I9" s="132"/>
      <c r="J9" s="132"/>
      <c r="K9" s="132"/>
      <c r="L9" s="132"/>
      <c r="M9" s="132"/>
      <c r="N9" s="132"/>
      <c r="O9" s="88">
        <v>4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61</v>
      </c>
      <c r="F10" s="132" t="s">
        <v>984</v>
      </c>
      <c r="G10" s="132"/>
      <c r="H10" s="132"/>
      <c r="I10" s="132"/>
      <c r="J10" s="132"/>
      <c r="K10" s="132"/>
      <c r="L10" s="132"/>
      <c r="M10" s="132"/>
      <c r="N10" s="132"/>
      <c r="O10" s="75">
        <v>3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14</v>
      </c>
      <c r="E11" s="41" t="s">
        <v>61</v>
      </c>
      <c r="F11" s="132" t="s">
        <v>383</v>
      </c>
      <c r="G11" s="132"/>
      <c r="H11" s="132"/>
      <c r="I11" s="132"/>
      <c r="J11" s="132"/>
      <c r="K11" s="132"/>
      <c r="L11" s="132"/>
      <c r="M11" s="132"/>
      <c r="N11" s="132"/>
      <c r="O11" s="80" t="s">
        <v>378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61</v>
      </c>
      <c r="F12" s="132" t="s">
        <v>999</v>
      </c>
      <c r="G12" s="132"/>
      <c r="H12" s="132"/>
      <c r="I12" s="132"/>
      <c r="J12" s="132"/>
      <c r="K12" s="132"/>
      <c r="L12" s="132"/>
      <c r="M12" s="132"/>
      <c r="N12" s="132"/>
      <c r="O12" s="79">
        <v>1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61</v>
      </c>
      <c r="F13" s="132" t="s">
        <v>384</v>
      </c>
      <c r="G13" s="132"/>
      <c r="H13" s="132"/>
      <c r="I13" s="132"/>
      <c r="J13" s="132"/>
      <c r="K13" s="132"/>
      <c r="L13" s="132"/>
      <c r="M13" s="132"/>
      <c r="N13" s="132"/>
      <c r="O13" s="75">
        <v>3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13</v>
      </c>
      <c r="F14" s="132" t="s">
        <v>385</v>
      </c>
      <c r="G14" s="132"/>
      <c r="H14" s="132"/>
      <c r="I14" s="132"/>
      <c r="J14" s="132"/>
      <c r="K14" s="132"/>
      <c r="L14" s="132"/>
      <c r="M14" s="132"/>
      <c r="N14" s="132"/>
      <c r="O14" s="75">
        <v>1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61</v>
      </c>
      <c r="F15" s="132" t="s">
        <v>386</v>
      </c>
      <c r="G15" s="132"/>
      <c r="H15" s="132"/>
      <c r="I15" s="132"/>
      <c r="J15" s="132"/>
      <c r="K15" s="132"/>
      <c r="L15" s="132"/>
      <c r="M15" s="132"/>
      <c r="N15" s="132"/>
      <c r="O15" s="87">
        <v>4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61</v>
      </c>
      <c r="F16" s="132" t="s">
        <v>387</v>
      </c>
      <c r="G16" s="132"/>
      <c r="H16" s="132"/>
      <c r="I16" s="132"/>
      <c r="J16" s="132"/>
      <c r="K16" s="132"/>
      <c r="L16" s="132"/>
      <c r="M16" s="132"/>
      <c r="N16" s="132"/>
      <c r="O16" s="75">
        <v>2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61</v>
      </c>
      <c r="F17" s="132" t="s">
        <v>388</v>
      </c>
      <c r="G17" s="132"/>
      <c r="H17" s="132"/>
      <c r="I17" s="132"/>
      <c r="J17" s="132"/>
      <c r="K17" s="132"/>
      <c r="L17" s="132"/>
      <c r="M17" s="132"/>
      <c r="N17" s="132"/>
      <c r="O17" s="87">
        <v>2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61</v>
      </c>
      <c r="F18" s="135" t="s">
        <v>998</v>
      </c>
      <c r="G18" s="132"/>
      <c r="H18" s="132"/>
      <c r="I18" s="132"/>
      <c r="J18" s="132"/>
      <c r="K18" s="132"/>
      <c r="L18" s="132"/>
      <c r="M18" s="132"/>
      <c r="N18" s="132"/>
      <c r="O18" s="89">
        <v>2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13</v>
      </c>
      <c r="F19" s="132" t="s">
        <v>389</v>
      </c>
      <c r="G19" s="132"/>
      <c r="H19" s="132"/>
      <c r="I19" s="132"/>
      <c r="J19" s="132"/>
      <c r="K19" s="132"/>
      <c r="L19" s="132"/>
      <c r="M19" s="132"/>
      <c r="N19" s="132"/>
      <c r="O19" s="75">
        <v>1</v>
      </c>
    </row>
    <row r="20" spans="2:15" s="10" customFormat="1" ht="310.5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61</v>
      </c>
      <c r="F20" s="132" t="s">
        <v>922</v>
      </c>
      <c r="G20" s="132"/>
      <c r="H20" s="132"/>
      <c r="I20" s="132"/>
      <c r="J20" s="132"/>
      <c r="K20" s="132"/>
      <c r="L20" s="132"/>
      <c r="M20" s="132"/>
      <c r="N20" s="132"/>
      <c r="O20" s="89">
        <v>3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61</v>
      </c>
      <c r="F21" s="132" t="s">
        <v>390</v>
      </c>
      <c r="G21" s="132"/>
      <c r="H21" s="132"/>
      <c r="I21" s="132"/>
      <c r="J21" s="132"/>
      <c r="K21" s="132"/>
      <c r="L21" s="132"/>
      <c r="M21" s="132"/>
      <c r="N21" s="132"/>
      <c r="O21" s="79">
        <v>2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62</v>
      </c>
      <c r="F22" s="132" t="s">
        <v>391</v>
      </c>
      <c r="G22" s="132"/>
      <c r="H22" s="132"/>
      <c r="I22" s="132"/>
      <c r="J22" s="132"/>
      <c r="K22" s="132"/>
      <c r="L22" s="132"/>
      <c r="M22" s="132"/>
      <c r="N22" s="132"/>
      <c r="O22" s="75">
        <v>1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14</v>
      </c>
      <c r="E23" s="41" t="s">
        <v>61</v>
      </c>
      <c r="F23" s="132" t="s">
        <v>392</v>
      </c>
      <c r="G23" s="132"/>
      <c r="H23" s="132"/>
      <c r="I23" s="132"/>
      <c r="J23" s="132"/>
      <c r="K23" s="132"/>
      <c r="L23" s="132"/>
      <c r="M23" s="132"/>
      <c r="N23" s="132"/>
      <c r="O23" s="79">
        <v>1</v>
      </c>
    </row>
    <row r="24" spans="2:15" s="10" customFormat="1" ht="246.75" customHeight="1" x14ac:dyDescent="0.3">
      <c r="B24" s="42">
        <v>19</v>
      </c>
      <c r="C24" s="41">
        <f t="shared" si="0"/>
        <v>4</v>
      </c>
      <c r="D24" s="41" t="s">
        <v>14</v>
      </c>
      <c r="E24" s="41" t="s">
        <v>62</v>
      </c>
      <c r="F24" s="132" t="s">
        <v>920</v>
      </c>
      <c r="G24" s="132"/>
      <c r="H24" s="132"/>
      <c r="I24" s="132"/>
      <c r="J24" s="132"/>
      <c r="K24" s="132"/>
      <c r="L24" s="132"/>
      <c r="M24" s="132"/>
      <c r="N24" s="132"/>
      <c r="O24" s="75">
        <v>3</v>
      </c>
    </row>
    <row r="25" spans="2:15" s="10" customFormat="1" ht="284.25" customHeight="1" x14ac:dyDescent="0.3">
      <c r="B25" s="42">
        <v>20</v>
      </c>
      <c r="C25" s="41">
        <f t="shared" si="0"/>
        <v>4</v>
      </c>
      <c r="D25" s="41" t="s">
        <v>14</v>
      </c>
      <c r="E25" s="41" t="s">
        <v>62</v>
      </c>
      <c r="F25" s="132" t="s">
        <v>919</v>
      </c>
      <c r="G25" s="132"/>
      <c r="H25" s="132"/>
      <c r="I25" s="132"/>
      <c r="J25" s="132"/>
      <c r="K25" s="132"/>
      <c r="L25" s="132"/>
      <c r="M25" s="132"/>
      <c r="N25" s="132"/>
      <c r="O25" s="79">
        <v>1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14</v>
      </c>
      <c r="E26" s="41" t="s">
        <v>16</v>
      </c>
      <c r="F26" s="132" t="s">
        <v>75</v>
      </c>
      <c r="G26" s="132"/>
      <c r="H26" s="132"/>
      <c r="I26" s="132"/>
      <c r="J26" s="132"/>
      <c r="K26" s="132"/>
      <c r="L26" s="132"/>
      <c r="M26" s="132"/>
      <c r="N26" s="132"/>
      <c r="O26" s="89" t="s">
        <v>77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14</v>
      </c>
      <c r="E27" s="41" t="s">
        <v>16</v>
      </c>
      <c r="F27" s="132" t="s">
        <v>76</v>
      </c>
      <c r="G27" s="133"/>
      <c r="H27" s="133"/>
      <c r="I27" s="133"/>
      <c r="J27" s="133"/>
      <c r="K27" s="133"/>
      <c r="L27" s="133"/>
      <c r="M27" s="133"/>
      <c r="N27" s="133"/>
      <c r="O27" s="89" t="s">
        <v>8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67</v>
      </c>
      <c r="E28" s="41" t="s">
        <v>16</v>
      </c>
      <c r="F28" s="132" t="s">
        <v>78</v>
      </c>
      <c r="G28" s="132"/>
      <c r="H28" s="132"/>
      <c r="I28" s="132"/>
      <c r="J28" s="132"/>
      <c r="K28" s="132"/>
      <c r="L28" s="132"/>
      <c r="M28" s="132"/>
      <c r="N28" s="132"/>
      <c r="O28" s="89" t="s">
        <v>86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14</v>
      </c>
      <c r="E29" s="41" t="s">
        <v>69</v>
      </c>
      <c r="F29" s="132" t="s">
        <v>79</v>
      </c>
      <c r="G29" s="132"/>
      <c r="H29" s="132"/>
      <c r="I29" s="132"/>
      <c r="J29" s="132"/>
      <c r="K29" s="132"/>
      <c r="L29" s="132"/>
      <c r="M29" s="132"/>
      <c r="N29" s="132"/>
      <c r="O29" s="75" t="s">
        <v>87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52</v>
      </c>
      <c r="E30" s="41" t="s">
        <v>3</v>
      </c>
      <c r="F30" s="132" t="s">
        <v>81</v>
      </c>
      <c r="G30" s="132"/>
      <c r="H30" s="132"/>
      <c r="I30" s="132"/>
      <c r="J30" s="132"/>
      <c r="K30" s="132"/>
      <c r="L30" s="132"/>
      <c r="M30" s="132"/>
      <c r="N30" s="132"/>
      <c r="O30" s="80" t="s">
        <v>80</v>
      </c>
    </row>
    <row r="31" spans="2:15" s="10" customFormat="1" ht="207" customHeight="1" x14ac:dyDescent="0.3">
      <c r="B31" s="42">
        <v>26</v>
      </c>
      <c r="C31" s="41">
        <f t="shared" si="0"/>
        <v>2.5</v>
      </c>
      <c r="D31" s="41" t="s">
        <v>52</v>
      </c>
      <c r="E31" s="41" t="s">
        <v>25</v>
      </c>
      <c r="F31" s="136" t="s">
        <v>393</v>
      </c>
      <c r="G31" s="137"/>
      <c r="H31" s="137"/>
      <c r="I31" s="137"/>
      <c r="J31" s="137"/>
      <c r="K31" s="137"/>
      <c r="L31" s="137"/>
      <c r="M31" s="137"/>
      <c r="N31" s="138"/>
      <c r="O31" s="80">
        <v>4</v>
      </c>
    </row>
    <row r="32" spans="2:15" s="10" customFormat="1" ht="207" customHeight="1" x14ac:dyDescent="0.3">
      <c r="B32" s="42">
        <v>27</v>
      </c>
      <c r="C32" s="41">
        <f t="shared" si="0"/>
        <v>2.5</v>
      </c>
      <c r="D32" s="41" t="s">
        <v>52</v>
      </c>
      <c r="E32" s="41" t="s">
        <v>25</v>
      </c>
      <c r="F32" s="136" t="s">
        <v>394</v>
      </c>
      <c r="G32" s="137"/>
      <c r="H32" s="137"/>
      <c r="I32" s="137"/>
      <c r="J32" s="137"/>
      <c r="K32" s="137"/>
      <c r="L32" s="137"/>
      <c r="M32" s="137"/>
      <c r="N32" s="138"/>
      <c r="O32" s="80">
        <v>2</v>
      </c>
    </row>
    <row r="33" spans="2:15" s="10" customFormat="1" ht="207" customHeight="1" x14ac:dyDescent="0.3">
      <c r="B33" s="42">
        <v>28</v>
      </c>
      <c r="C33" s="41">
        <f t="shared" si="0"/>
        <v>5</v>
      </c>
      <c r="D33" s="41" t="s">
        <v>52</v>
      </c>
      <c r="E33" s="41" t="s">
        <v>3</v>
      </c>
      <c r="F33" s="132" t="s">
        <v>296</v>
      </c>
      <c r="G33" s="132"/>
      <c r="H33" s="132"/>
      <c r="I33" s="132"/>
      <c r="J33" s="132"/>
      <c r="K33" s="132"/>
      <c r="L33" s="132"/>
      <c r="M33" s="132"/>
      <c r="N33" s="132"/>
      <c r="O33" s="83" t="s">
        <v>295</v>
      </c>
    </row>
    <row r="34" spans="2:15" s="10" customFormat="1" ht="207" customHeight="1" x14ac:dyDescent="0.3">
      <c r="B34" s="43">
        <v>29</v>
      </c>
      <c r="C34" s="44">
        <f t="shared" si="0"/>
        <v>4</v>
      </c>
      <c r="D34" s="44" t="s">
        <v>52</v>
      </c>
      <c r="E34" s="44" t="s">
        <v>2</v>
      </c>
      <c r="F34" s="134" t="s">
        <v>395</v>
      </c>
      <c r="G34" s="134"/>
      <c r="H34" s="134"/>
      <c r="I34" s="134"/>
      <c r="J34" s="134"/>
      <c r="K34" s="134"/>
      <c r="L34" s="134"/>
      <c r="M34" s="134"/>
      <c r="N34" s="134"/>
      <c r="O34" s="97">
        <v>1</v>
      </c>
    </row>
  </sheetData>
  <mergeCells count="32">
    <mergeCell ref="F32:N32"/>
    <mergeCell ref="F33:N33"/>
    <mergeCell ref="F34:N34"/>
    <mergeCell ref="F27:N27"/>
    <mergeCell ref="F28:N28"/>
    <mergeCell ref="F29:N29"/>
    <mergeCell ref="F30:N30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B2:O34"/>
  <sheetViews>
    <sheetView showGridLines="0" topLeftCell="A4" zoomScale="40" zoomScaleNormal="40" zoomScaleSheetLayoutView="55" workbookViewId="0">
      <selection activeCell="F9" sqref="F9:N9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215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56"/>
      <c r="H4" s="56"/>
      <c r="I4" s="56"/>
      <c r="J4" s="56"/>
      <c r="K4" s="56"/>
      <c r="L4" s="56"/>
      <c r="M4" s="56"/>
      <c r="N4" s="56"/>
    </row>
    <row r="5" spans="2:15" ht="49.5" customHeight="1" x14ac:dyDescent="0.3">
      <c r="B5" s="90" t="s">
        <v>0</v>
      </c>
      <c r="C5" s="91" t="s">
        <v>20</v>
      </c>
      <c r="D5" s="91" t="s">
        <v>4</v>
      </c>
      <c r="E5" s="92" t="s">
        <v>41</v>
      </c>
      <c r="F5" s="139" t="s">
        <v>1</v>
      </c>
      <c r="G5" s="139"/>
      <c r="H5" s="139"/>
      <c r="I5" s="139"/>
      <c r="J5" s="139"/>
      <c r="K5" s="139"/>
      <c r="L5" s="139"/>
      <c r="M5" s="139"/>
      <c r="N5" s="139"/>
      <c r="O5" s="93" t="s">
        <v>19</v>
      </c>
    </row>
    <row r="6" spans="2:15" s="10" customFormat="1" ht="207" customHeight="1" x14ac:dyDescent="0.3">
      <c r="B6" s="42">
        <v>1</v>
      </c>
      <c r="C6" s="94">
        <f>IF(E6="공통",2.5,IF(E6="객관식",4,IF(E6="주관식",5,"")))</f>
        <v>2.5</v>
      </c>
      <c r="D6" s="94" t="s">
        <v>82</v>
      </c>
      <c r="E6" s="94" t="s">
        <v>25</v>
      </c>
      <c r="F6" s="132" t="s">
        <v>398</v>
      </c>
      <c r="G6" s="132"/>
      <c r="H6" s="132"/>
      <c r="I6" s="132"/>
      <c r="J6" s="132"/>
      <c r="K6" s="132"/>
      <c r="L6" s="132"/>
      <c r="M6" s="132"/>
      <c r="N6" s="132"/>
      <c r="O6" s="89" t="s">
        <v>397</v>
      </c>
    </row>
    <row r="7" spans="2:15" s="10" customFormat="1" ht="206.25" customHeight="1" x14ac:dyDescent="0.3">
      <c r="B7" s="42">
        <v>2</v>
      </c>
      <c r="C7" s="94">
        <f t="shared" ref="C7:C34" si="0">IF(E7="공통",2.5,IF(E7="객관식",4,IF(E7="주관식",5,"")))</f>
        <v>2.5</v>
      </c>
      <c r="D7" s="94" t="s">
        <v>52</v>
      </c>
      <c r="E7" s="94" t="s">
        <v>25</v>
      </c>
      <c r="F7" s="132" t="s">
        <v>491</v>
      </c>
      <c r="G7" s="133"/>
      <c r="H7" s="133"/>
      <c r="I7" s="133"/>
      <c r="J7" s="133"/>
      <c r="K7" s="133"/>
      <c r="L7" s="133"/>
      <c r="M7" s="133"/>
      <c r="N7" s="133"/>
      <c r="O7" s="89">
        <v>3</v>
      </c>
    </row>
    <row r="8" spans="2:15" s="10" customFormat="1" ht="207" customHeight="1" x14ac:dyDescent="0.3">
      <c r="B8" s="42">
        <v>3</v>
      </c>
      <c r="C8" s="94">
        <f t="shared" si="0"/>
        <v>4</v>
      </c>
      <c r="D8" s="94" t="s">
        <v>52</v>
      </c>
      <c r="E8" s="94" t="s">
        <v>2</v>
      </c>
      <c r="F8" s="132" t="s">
        <v>399</v>
      </c>
      <c r="G8" s="132"/>
      <c r="H8" s="132"/>
      <c r="I8" s="132"/>
      <c r="J8" s="132"/>
      <c r="K8" s="132"/>
      <c r="L8" s="132"/>
      <c r="M8" s="132"/>
      <c r="N8" s="132"/>
      <c r="O8" s="87">
        <v>4</v>
      </c>
    </row>
    <row r="9" spans="2:15" s="10" customFormat="1" ht="207" customHeight="1" x14ac:dyDescent="0.3">
      <c r="B9" s="42">
        <v>4</v>
      </c>
      <c r="C9" s="94">
        <f t="shared" si="0"/>
        <v>4</v>
      </c>
      <c r="D9" s="94" t="s">
        <v>52</v>
      </c>
      <c r="E9" s="94" t="s">
        <v>2</v>
      </c>
      <c r="F9" s="132" t="s">
        <v>1005</v>
      </c>
      <c r="G9" s="132"/>
      <c r="H9" s="132"/>
      <c r="I9" s="132"/>
      <c r="J9" s="132"/>
      <c r="K9" s="132"/>
      <c r="L9" s="132"/>
      <c r="M9" s="132"/>
      <c r="N9" s="132"/>
      <c r="O9" s="76">
        <v>4</v>
      </c>
    </row>
    <row r="10" spans="2:15" s="10" customFormat="1" ht="207" customHeight="1" x14ac:dyDescent="0.3">
      <c r="B10" s="42">
        <v>5</v>
      </c>
      <c r="C10" s="94">
        <f t="shared" si="0"/>
        <v>4</v>
      </c>
      <c r="D10" s="94" t="s">
        <v>52</v>
      </c>
      <c r="E10" s="94" t="s">
        <v>2</v>
      </c>
      <c r="F10" s="132" t="s">
        <v>1000</v>
      </c>
      <c r="G10" s="132"/>
      <c r="H10" s="132"/>
      <c r="I10" s="132"/>
      <c r="J10" s="132"/>
      <c r="K10" s="132"/>
      <c r="L10" s="132"/>
      <c r="M10" s="132"/>
      <c r="N10" s="132"/>
      <c r="O10" s="75">
        <v>1</v>
      </c>
    </row>
    <row r="11" spans="2:15" s="10" customFormat="1" ht="207" customHeight="1" x14ac:dyDescent="0.3">
      <c r="B11" s="42">
        <v>6</v>
      </c>
      <c r="C11" s="94">
        <f t="shared" si="0"/>
        <v>4</v>
      </c>
      <c r="D11" s="94" t="s">
        <v>52</v>
      </c>
      <c r="E11" s="94" t="s">
        <v>2</v>
      </c>
      <c r="F11" s="132" t="s">
        <v>400</v>
      </c>
      <c r="G11" s="132"/>
      <c r="H11" s="132"/>
      <c r="I11" s="132"/>
      <c r="J11" s="132"/>
      <c r="K11" s="132"/>
      <c r="L11" s="132"/>
      <c r="M11" s="132"/>
      <c r="N11" s="132"/>
      <c r="O11" s="75">
        <v>3</v>
      </c>
    </row>
    <row r="12" spans="2:15" s="10" customFormat="1" ht="207" customHeight="1" x14ac:dyDescent="0.3">
      <c r="B12" s="42">
        <v>7</v>
      </c>
      <c r="C12" s="94">
        <f t="shared" si="0"/>
        <v>4</v>
      </c>
      <c r="D12" s="94" t="s">
        <v>52</v>
      </c>
      <c r="E12" s="94" t="s">
        <v>2</v>
      </c>
      <c r="F12" s="132" t="s">
        <v>1004</v>
      </c>
      <c r="G12" s="132"/>
      <c r="H12" s="132"/>
      <c r="I12" s="132"/>
      <c r="J12" s="132"/>
      <c r="K12" s="132"/>
      <c r="L12" s="132"/>
      <c r="M12" s="132"/>
      <c r="N12" s="132"/>
      <c r="O12" s="75">
        <v>3</v>
      </c>
    </row>
    <row r="13" spans="2:15" s="10" customFormat="1" ht="207" customHeight="1" x14ac:dyDescent="0.3">
      <c r="B13" s="42">
        <v>8</v>
      </c>
      <c r="C13" s="94">
        <f t="shared" si="0"/>
        <v>4</v>
      </c>
      <c r="D13" s="94" t="s">
        <v>52</v>
      </c>
      <c r="E13" s="94" t="s">
        <v>2</v>
      </c>
      <c r="F13" s="132" t="s">
        <v>401</v>
      </c>
      <c r="G13" s="132"/>
      <c r="H13" s="132"/>
      <c r="I13" s="132"/>
      <c r="J13" s="132"/>
      <c r="K13" s="132"/>
      <c r="L13" s="132"/>
      <c r="M13" s="132"/>
      <c r="N13" s="132"/>
      <c r="O13" s="75">
        <v>1</v>
      </c>
    </row>
    <row r="14" spans="2:15" s="10" customFormat="1" ht="207" customHeight="1" x14ac:dyDescent="0.3">
      <c r="B14" s="42">
        <v>9</v>
      </c>
      <c r="C14" s="94">
        <f t="shared" si="0"/>
        <v>4</v>
      </c>
      <c r="D14" s="94" t="s">
        <v>52</v>
      </c>
      <c r="E14" s="94" t="s">
        <v>2</v>
      </c>
      <c r="F14" s="132" t="s">
        <v>402</v>
      </c>
      <c r="G14" s="132"/>
      <c r="H14" s="132"/>
      <c r="I14" s="132"/>
      <c r="J14" s="132"/>
      <c r="K14" s="132"/>
      <c r="L14" s="132"/>
      <c r="M14" s="132"/>
      <c r="N14" s="132"/>
      <c r="O14" s="75">
        <v>4</v>
      </c>
    </row>
    <row r="15" spans="2:15" s="10" customFormat="1" ht="207" customHeight="1" x14ac:dyDescent="0.3">
      <c r="B15" s="42">
        <v>10</v>
      </c>
      <c r="C15" s="94">
        <f t="shared" si="0"/>
        <v>4</v>
      </c>
      <c r="D15" s="94" t="s">
        <v>52</v>
      </c>
      <c r="E15" s="94" t="s">
        <v>2</v>
      </c>
      <c r="F15" s="132" t="s">
        <v>403</v>
      </c>
      <c r="G15" s="132"/>
      <c r="H15" s="132"/>
      <c r="I15" s="132"/>
      <c r="J15" s="132"/>
      <c r="K15" s="132"/>
      <c r="L15" s="132"/>
      <c r="M15" s="132"/>
      <c r="N15" s="132"/>
      <c r="O15" s="75">
        <v>3</v>
      </c>
    </row>
    <row r="16" spans="2:15" s="10" customFormat="1" ht="207" customHeight="1" x14ac:dyDescent="0.3">
      <c r="B16" s="42">
        <v>11</v>
      </c>
      <c r="C16" s="94">
        <f t="shared" si="0"/>
        <v>4</v>
      </c>
      <c r="D16" s="94" t="s">
        <v>52</v>
      </c>
      <c r="E16" s="94" t="s">
        <v>61</v>
      </c>
      <c r="F16" s="132" t="s">
        <v>404</v>
      </c>
      <c r="G16" s="132"/>
      <c r="H16" s="132"/>
      <c r="I16" s="132"/>
      <c r="J16" s="132"/>
      <c r="K16" s="132"/>
      <c r="L16" s="132"/>
      <c r="M16" s="132"/>
      <c r="N16" s="132"/>
      <c r="O16" s="87">
        <v>2</v>
      </c>
    </row>
    <row r="17" spans="2:15" s="10" customFormat="1" ht="207" customHeight="1" x14ac:dyDescent="0.3">
      <c r="B17" s="42">
        <v>12</v>
      </c>
      <c r="C17" s="94">
        <f t="shared" si="0"/>
        <v>4</v>
      </c>
      <c r="D17" s="94" t="s">
        <v>52</v>
      </c>
      <c r="E17" s="94" t="s">
        <v>61</v>
      </c>
      <c r="F17" s="132" t="s">
        <v>1001</v>
      </c>
      <c r="G17" s="132"/>
      <c r="H17" s="132"/>
      <c r="I17" s="132"/>
      <c r="J17" s="132"/>
      <c r="K17" s="132"/>
      <c r="L17" s="132"/>
      <c r="M17" s="132"/>
      <c r="N17" s="132"/>
      <c r="O17" s="87">
        <v>4</v>
      </c>
    </row>
    <row r="18" spans="2:15" s="10" customFormat="1" ht="207" customHeight="1" x14ac:dyDescent="0.3">
      <c r="B18" s="42">
        <v>13</v>
      </c>
      <c r="C18" s="94">
        <f t="shared" si="0"/>
        <v>4</v>
      </c>
      <c r="D18" s="94" t="s">
        <v>52</v>
      </c>
      <c r="E18" s="94" t="s">
        <v>61</v>
      </c>
      <c r="F18" s="135" t="s">
        <v>1002</v>
      </c>
      <c r="G18" s="132"/>
      <c r="H18" s="132"/>
      <c r="I18" s="132"/>
      <c r="J18" s="132"/>
      <c r="K18" s="132"/>
      <c r="L18" s="132"/>
      <c r="M18" s="132"/>
      <c r="N18" s="132"/>
      <c r="O18" s="75">
        <v>1</v>
      </c>
    </row>
    <row r="19" spans="2:15" s="10" customFormat="1" ht="207" customHeight="1" x14ac:dyDescent="0.3">
      <c r="B19" s="42">
        <v>14</v>
      </c>
      <c r="C19" s="94">
        <f t="shared" si="0"/>
        <v>4</v>
      </c>
      <c r="D19" s="94" t="s">
        <v>52</v>
      </c>
      <c r="E19" s="94" t="s">
        <v>2</v>
      </c>
      <c r="F19" s="132" t="s">
        <v>405</v>
      </c>
      <c r="G19" s="132"/>
      <c r="H19" s="132"/>
      <c r="I19" s="132"/>
      <c r="J19" s="132"/>
      <c r="K19" s="132"/>
      <c r="L19" s="132"/>
      <c r="M19" s="132"/>
      <c r="N19" s="132"/>
      <c r="O19" s="75">
        <v>1</v>
      </c>
    </row>
    <row r="20" spans="2:15" s="10" customFormat="1" ht="278.25" customHeight="1" x14ac:dyDescent="0.3">
      <c r="B20" s="42">
        <v>15</v>
      </c>
      <c r="C20" s="94">
        <f t="shared" si="0"/>
        <v>4</v>
      </c>
      <c r="D20" s="94" t="s">
        <v>52</v>
      </c>
      <c r="E20" s="94" t="s">
        <v>61</v>
      </c>
      <c r="F20" s="132" t="s">
        <v>922</v>
      </c>
      <c r="G20" s="132"/>
      <c r="H20" s="132"/>
      <c r="I20" s="132"/>
      <c r="J20" s="132"/>
      <c r="K20" s="132"/>
      <c r="L20" s="132"/>
      <c r="M20" s="132"/>
      <c r="N20" s="132"/>
      <c r="O20" s="76">
        <v>3</v>
      </c>
    </row>
    <row r="21" spans="2:15" s="10" customFormat="1" ht="207" customHeight="1" x14ac:dyDescent="0.3">
      <c r="B21" s="42">
        <v>16</v>
      </c>
      <c r="C21" s="94">
        <f t="shared" si="0"/>
        <v>4</v>
      </c>
      <c r="D21" s="94" t="s">
        <v>52</v>
      </c>
      <c r="E21" s="94" t="s">
        <v>61</v>
      </c>
      <c r="F21" s="132" t="s">
        <v>390</v>
      </c>
      <c r="G21" s="132"/>
      <c r="H21" s="132"/>
      <c r="I21" s="132"/>
      <c r="J21" s="132"/>
      <c r="K21" s="132"/>
      <c r="L21" s="132"/>
      <c r="M21" s="132"/>
      <c r="N21" s="132"/>
      <c r="O21" s="75">
        <v>2</v>
      </c>
    </row>
    <row r="22" spans="2:15" s="10" customFormat="1" ht="207" customHeight="1" x14ac:dyDescent="0.3">
      <c r="B22" s="42">
        <v>17</v>
      </c>
      <c r="C22" s="94">
        <f t="shared" si="0"/>
        <v>4</v>
      </c>
      <c r="D22" s="94" t="s">
        <v>52</v>
      </c>
      <c r="E22" s="94" t="s">
        <v>62</v>
      </c>
      <c r="F22" s="132" t="s">
        <v>920</v>
      </c>
      <c r="G22" s="132"/>
      <c r="H22" s="132"/>
      <c r="I22" s="132"/>
      <c r="J22" s="132"/>
      <c r="K22" s="132"/>
      <c r="L22" s="132"/>
      <c r="M22" s="132"/>
      <c r="N22" s="132"/>
      <c r="O22" s="75">
        <v>3</v>
      </c>
    </row>
    <row r="23" spans="2:15" s="10" customFormat="1" ht="207" customHeight="1" x14ac:dyDescent="0.3">
      <c r="B23" s="42">
        <v>18</v>
      </c>
      <c r="C23" s="94">
        <f t="shared" si="0"/>
        <v>4</v>
      </c>
      <c r="D23" s="94" t="s">
        <v>52</v>
      </c>
      <c r="E23" s="94" t="s">
        <v>61</v>
      </c>
      <c r="F23" s="132" t="s">
        <v>919</v>
      </c>
      <c r="G23" s="132"/>
      <c r="H23" s="132"/>
      <c r="I23" s="132"/>
      <c r="J23" s="132"/>
      <c r="K23" s="132"/>
      <c r="L23" s="132"/>
      <c r="M23" s="132"/>
      <c r="N23" s="132"/>
      <c r="O23" s="79">
        <v>1</v>
      </c>
    </row>
    <row r="24" spans="2:15" s="10" customFormat="1" ht="207" customHeight="1" x14ac:dyDescent="0.3">
      <c r="B24" s="42">
        <v>19</v>
      </c>
      <c r="C24" s="94">
        <f t="shared" si="0"/>
        <v>4</v>
      </c>
      <c r="D24" s="94" t="s">
        <v>52</v>
      </c>
      <c r="E24" s="94" t="s">
        <v>62</v>
      </c>
      <c r="F24" s="132" t="s">
        <v>534</v>
      </c>
      <c r="G24" s="132"/>
      <c r="H24" s="132"/>
      <c r="I24" s="132"/>
      <c r="J24" s="132"/>
      <c r="K24" s="132"/>
      <c r="L24" s="132"/>
      <c r="M24" s="132"/>
      <c r="N24" s="132"/>
      <c r="O24" s="75">
        <v>1</v>
      </c>
    </row>
    <row r="25" spans="2:15" s="10" customFormat="1" ht="207" customHeight="1" x14ac:dyDescent="0.3">
      <c r="B25" s="42">
        <v>20</v>
      </c>
      <c r="C25" s="94">
        <f t="shared" si="0"/>
        <v>4</v>
      </c>
      <c r="D25" s="94" t="s">
        <v>52</v>
      </c>
      <c r="E25" s="94" t="s">
        <v>62</v>
      </c>
      <c r="F25" s="132" t="s">
        <v>406</v>
      </c>
      <c r="G25" s="132"/>
      <c r="H25" s="132"/>
      <c r="I25" s="132"/>
      <c r="J25" s="132"/>
      <c r="K25" s="132"/>
      <c r="L25" s="132"/>
      <c r="M25" s="132"/>
      <c r="N25" s="132"/>
      <c r="O25" s="75">
        <v>3</v>
      </c>
    </row>
    <row r="26" spans="2:15" s="10" customFormat="1" ht="207" customHeight="1" x14ac:dyDescent="0.3">
      <c r="B26" s="42">
        <v>21</v>
      </c>
      <c r="C26" s="94">
        <f t="shared" si="0"/>
        <v>4</v>
      </c>
      <c r="D26" s="94" t="s">
        <v>52</v>
      </c>
      <c r="E26" s="94" t="s">
        <v>62</v>
      </c>
      <c r="F26" s="132" t="s">
        <v>1003</v>
      </c>
      <c r="G26" s="132"/>
      <c r="H26" s="132"/>
      <c r="I26" s="132"/>
      <c r="J26" s="132"/>
      <c r="K26" s="132"/>
      <c r="L26" s="132"/>
      <c r="M26" s="132"/>
      <c r="N26" s="132"/>
      <c r="O26" s="89">
        <v>4</v>
      </c>
    </row>
    <row r="27" spans="2:15" s="10" customFormat="1" ht="207" customHeight="1" x14ac:dyDescent="0.3">
      <c r="B27" s="42">
        <v>22</v>
      </c>
      <c r="C27" s="94">
        <f t="shared" si="0"/>
        <v>4</v>
      </c>
      <c r="D27" s="94" t="s">
        <v>52</v>
      </c>
      <c r="E27" s="94" t="s">
        <v>62</v>
      </c>
      <c r="F27" s="132" t="s">
        <v>407</v>
      </c>
      <c r="G27" s="133"/>
      <c r="H27" s="133"/>
      <c r="I27" s="133"/>
      <c r="J27" s="133"/>
      <c r="K27" s="133"/>
      <c r="L27" s="133"/>
      <c r="M27" s="133"/>
      <c r="N27" s="133"/>
      <c r="O27" s="75">
        <v>1</v>
      </c>
    </row>
    <row r="28" spans="2:15" s="10" customFormat="1" ht="207" customHeight="1" x14ac:dyDescent="0.3">
      <c r="B28" s="42">
        <v>23</v>
      </c>
      <c r="C28" s="94">
        <f t="shared" si="0"/>
        <v>5</v>
      </c>
      <c r="D28" s="94" t="s">
        <v>52</v>
      </c>
      <c r="E28" s="94" t="s">
        <v>3</v>
      </c>
      <c r="F28" s="132" t="s">
        <v>88</v>
      </c>
      <c r="G28" s="132"/>
      <c r="H28" s="132"/>
      <c r="I28" s="132"/>
      <c r="J28" s="132"/>
      <c r="K28" s="132"/>
      <c r="L28" s="132"/>
      <c r="M28" s="132"/>
      <c r="N28" s="132"/>
      <c r="O28" s="87" t="s">
        <v>87</v>
      </c>
    </row>
    <row r="29" spans="2:15" s="10" customFormat="1" ht="207" customHeight="1" x14ac:dyDescent="0.3">
      <c r="B29" s="42">
        <v>24</v>
      </c>
      <c r="C29" s="94">
        <f t="shared" si="0"/>
        <v>5</v>
      </c>
      <c r="D29" s="94" t="s">
        <v>52</v>
      </c>
      <c r="E29" s="94" t="s">
        <v>69</v>
      </c>
      <c r="F29" s="132" t="s">
        <v>85</v>
      </c>
      <c r="G29" s="132"/>
      <c r="H29" s="132"/>
      <c r="I29" s="132"/>
      <c r="J29" s="132"/>
      <c r="K29" s="132"/>
      <c r="L29" s="132"/>
      <c r="M29" s="132"/>
      <c r="N29" s="132"/>
      <c r="O29" s="89" t="s">
        <v>86</v>
      </c>
    </row>
    <row r="30" spans="2:15" s="10" customFormat="1" ht="207" customHeight="1" x14ac:dyDescent="0.3">
      <c r="B30" s="42">
        <v>25</v>
      </c>
      <c r="C30" s="94">
        <f t="shared" si="0"/>
        <v>5</v>
      </c>
      <c r="D30" s="94" t="s">
        <v>52</v>
      </c>
      <c r="E30" s="94" t="s">
        <v>3</v>
      </c>
      <c r="F30" s="132" t="s">
        <v>83</v>
      </c>
      <c r="G30" s="132"/>
      <c r="H30" s="132"/>
      <c r="I30" s="132"/>
      <c r="J30" s="132"/>
      <c r="K30" s="132"/>
      <c r="L30" s="132"/>
      <c r="M30" s="132"/>
      <c r="N30" s="132"/>
      <c r="O30" s="89" t="s">
        <v>8</v>
      </c>
    </row>
    <row r="31" spans="2:15" s="10" customFormat="1" ht="207" customHeight="1" x14ac:dyDescent="0.3">
      <c r="B31" s="42">
        <v>26</v>
      </c>
      <c r="C31" s="94">
        <f t="shared" si="0"/>
        <v>5</v>
      </c>
      <c r="D31" s="94" t="s">
        <v>52</v>
      </c>
      <c r="E31" s="94" t="s">
        <v>3</v>
      </c>
      <c r="F31" s="132" t="s">
        <v>84</v>
      </c>
      <c r="G31" s="132"/>
      <c r="H31" s="132"/>
      <c r="I31" s="132"/>
      <c r="J31" s="132"/>
      <c r="K31" s="132"/>
      <c r="L31" s="132"/>
      <c r="M31" s="132"/>
      <c r="N31" s="132"/>
      <c r="O31" s="89" t="s">
        <v>7</v>
      </c>
    </row>
    <row r="32" spans="2:15" s="10" customFormat="1" ht="207" customHeight="1" x14ac:dyDescent="0.3">
      <c r="B32" s="42">
        <v>27</v>
      </c>
      <c r="C32" s="94">
        <f t="shared" si="0"/>
        <v>2.5</v>
      </c>
      <c r="D32" s="94" t="s">
        <v>52</v>
      </c>
      <c r="E32" s="94" t="s">
        <v>25</v>
      </c>
      <c r="F32" s="132" t="s">
        <v>938</v>
      </c>
      <c r="G32" s="132"/>
      <c r="H32" s="132"/>
      <c r="I32" s="132"/>
      <c r="J32" s="132"/>
      <c r="K32" s="132"/>
      <c r="L32" s="132"/>
      <c r="M32" s="132"/>
      <c r="N32" s="132"/>
      <c r="O32" s="80" t="s">
        <v>10</v>
      </c>
    </row>
    <row r="33" spans="2:15" s="10" customFormat="1" ht="207" customHeight="1" x14ac:dyDescent="0.3">
      <c r="B33" s="42">
        <v>44</v>
      </c>
      <c r="C33" s="94">
        <f t="shared" si="0"/>
        <v>2.5</v>
      </c>
      <c r="D33" s="94" t="s">
        <v>52</v>
      </c>
      <c r="E33" s="94" t="s">
        <v>25</v>
      </c>
      <c r="F33" s="132" t="s">
        <v>393</v>
      </c>
      <c r="G33" s="132"/>
      <c r="H33" s="132"/>
      <c r="I33" s="132"/>
      <c r="J33" s="132"/>
      <c r="K33" s="132"/>
      <c r="L33" s="132"/>
      <c r="M33" s="132"/>
      <c r="N33" s="132"/>
      <c r="O33" s="80">
        <v>4</v>
      </c>
    </row>
    <row r="34" spans="2:15" s="10" customFormat="1" ht="207" customHeight="1" x14ac:dyDescent="0.3">
      <c r="B34" s="43">
        <v>45</v>
      </c>
      <c r="C34" s="95">
        <f t="shared" si="0"/>
        <v>2.5</v>
      </c>
      <c r="D34" s="95" t="s">
        <v>52</v>
      </c>
      <c r="E34" s="95" t="s">
        <v>25</v>
      </c>
      <c r="F34" s="134" t="s">
        <v>394</v>
      </c>
      <c r="G34" s="134"/>
      <c r="H34" s="134"/>
      <c r="I34" s="134"/>
      <c r="J34" s="134"/>
      <c r="K34" s="134"/>
      <c r="L34" s="134"/>
      <c r="M34" s="134"/>
      <c r="N34" s="134"/>
      <c r="O34" s="84">
        <v>2</v>
      </c>
    </row>
  </sheetData>
  <mergeCells count="32">
    <mergeCell ref="F32:N32"/>
    <mergeCell ref="F34:N34"/>
    <mergeCell ref="F33:N33"/>
    <mergeCell ref="F27:N27"/>
    <mergeCell ref="F28:N28"/>
    <mergeCell ref="F29:N29"/>
    <mergeCell ref="F30:N30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B2:O35"/>
  <sheetViews>
    <sheetView showGridLines="0" topLeftCell="A28" zoomScale="40" zoomScaleNormal="40" zoomScaleSheetLayoutView="55" workbookViewId="0">
      <selection activeCell="F30" sqref="F30:N30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89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58"/>
      <c r="H4" s="58"/>
      <c r="I4" s="58"/>
      <c r="J4" s="58"/>
      <c r="K4" s="58"/>
      <c r="L4" s="58"/>
      <c r="M4" s="58"/>
      <c r="N4" s="58"/>
    </row>
    <row r="5" spans="2:15" ht="49.5" customHeight="1" x14ac:dyDescent="0.3">
      <c r="B5" s="36" t="s">
        <v>0</v>
      </c>
      <c r="C5" s="59" t="s">
        <v>20</v>
      </c>
      <c r="D5" s="59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2</v>
      </c>
      <c r="F6" s="132" t="s">
        <v>535</v>
      </c>
      <c r="G6" s="132"/>
      <c r="H6" s="132"/>
      <c r="I6" s="132"/>
      <c r="J6" s="132"/>
      <c r="K6" s="132"/>
      <c r="L6" s="132"/>
      <c r="M6" s="132"/>
      <c r="N6" s="132"/>
      <c r="O6" s="96">
        <v>2</v>
      </c>
    </row>
    <row r="7" spans="2:15" s="10" customFormat="1" ht="206.25" customHeight="1" x14ac:dyDescent="0.3">
      <c r="B7" s="42">
        <v>2</v>
      </c>
      <c r="C7" s="41">
        <f t="shared" ref="C7:C35" si="0">IF(E7="공통",2.5,IF(E7="객관식",4,IF(E7="주관식",5,"")))</f>
        <v>4</v>
      </c>
      <c r="D7" s="41" t="s">
        <v>14</v>
      </c>
      <c r="E7" s="41" t="s">
        <v>2</v>
      </c>
      <c r="F7" s="132" t="s">
        <v>410</v>
      </c>
      <c r="G7" s="140"/>
      <c r="H7" s="140"/>
      <c r="I7" s="140"/>
      <c r="J7" s="140"/>
      <c r="K7" s="140"/>
      <c r="L7" s="140"/>
      <c r="M7" s="140"/>
      <c r="N7" s="141"/>
      <c r="O7" s="80">
        <v>3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14</v>
      </c>
      <c r="E8" s="41" t="s">
        <v>2</v>
      </c>
      <c r="F8" s="132" t="s">
        <v>411</v>
      </c>
      <c r="G8" s="132"/>
      <c r="H8" s="132"/>
      <c r="I8" s="132"/>
      <c r="J8" s="132"/>
      <c r="K8" s="132"/>
      <c r="L8" s="132"/>
      <c r="M8" s="132"/>
      <c r="N8" s="132"/>
      <c r="O8" s="79">
        <v>4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14</v>
      </c>
      <c r="E9" s="41" t="s">
        <v>2</v>
      </c>
      <c r="F9" s="132" t="s">
        <v>412</v>
      </c>
      <c r="G9" s="132"/>
      <c r="H9" s="132"/>
      <c r="I9" s="132"/>
      <c r="J9" s="132"/>
      <c r="K9" s="132"/>
      <c r="L9" s="132"/>
      <c r="M9" s="132"/>
      <c r="N9" s="132"/>
      <c r="O9" s="79">
        <v>2</v>
      </c>
    </row>
    <row r="10" spans="2:15" s="10" customFormat="1" ht="291.75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2</v>
      </c>
      <c r="F10" s="132" t="s">
        <v>923</v>
      </c>
      <c r="G10" s="132"/>
      <c r="H10" s="132"/>
      <c r="I10" s="132"/>
      <c r="J10" s="132"/>
      <c r="K10" s="132"/>
      <c r="L10" s="132"/>
      <c r="M10" s="132"/>
      <c r="N10" s="132"/>
      <c r="O10" s="79">
        <v>2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14</v>
      </c>
      <c r="E11" s="41" t="s">
        <v>2</v>
      </c>
      <c r="F11" s="132" t="s">
        <v>413</v>
      </c>
      <c r="G11" s="132"/>
      <c r="H11" s="132"/>
      <c r="I11" s="132"/>
      <c r="J11" s="132"/>
      <c r="K11" s="132"/>
      <c r="L11" s="132"/>
      <c r="M11" s="132"/>
      <c r="N11" s="132"/>
      <c r="O11" s="79">
        <v>2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2</v>
      </c>
      <c r="F12" s="132" t="s">
        <v>414</v>
      </c>
      <c r="G12" s="132"/>
      <c r="H12" s="132"/>
      <c r="I12" s="132"/>
      <c r="J12" s="132"/>
      <c r="K12" s="132"/>
      <c r="L12" s="132"/>
      <c r="M12" s="132"/>
      <c r="N12" s="132"/>
      <c r="O12" s="80" t="s">
        <v>408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2</v>
      </c>
      <c r="F13" s="132" t="s">
        <v>415</v>
      </c>
      <c r="G13" s="132"/>
      <c r="H13" s="132"/>
      <c r="I13" s="132"/>
      <c r="J13" s="132"/>
      <c r="K13" s="132"/>
      <c r="L13" s="132"/>
      <c r="M13" s="132"/>
      <c r="N13" s="132"/>
      <c r="O13" s="79">
        <v>3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2</v>
      </c>
      <c r="F14" s="132" t="s">
        <v>416</v>
      </c>
      <c r="G14" s="132"/>
      <c r="H14" s="132"/>
      <c r="I14" s="132"/>
      <c r="J14" s="132"/>
      <c r="K14" s="132"/>
      <c r="L14" s="132"/>
      <c r="M14" s="132"/>
      <c r="N14" s="132"/>
      <c r="O14" s="79">
        <v>4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2</v>
      </c>
      <c r="F15" s="132" t="s">
        <v>417</v>
      </c>
      <c r="G15" s="132"/>
      <c r="H15" s="132"/>
      <c r="I15" s="132"/>
      <c r="J15" s="132"/>
      <c r="K15" s="132"/>
      <c r="L15" s="132"/>
      <c r="M15" s="132"/>
      <c r="N15" s="132"/>
      <c r="O15" s="79">
        <v>4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2</v>
      </c>
      <c r="F16" s="132" t="s">
        <v>418</v>
      </c>
      <c r="G16" s="132"/>
      <c r="H16" s="132"/>
      <c r="I16" s="132"/>
      <c r="J16" s="132"/>
      <c r="K16" s="132"/>
      <c r="L16" s="132"/>
      <c r="M16" s="132"/>
      <c r="N16" s="132"/>
      <c r="O16" s="79">
        <v>3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2</v>
      </c>
      <c r="F17" s="132" t="s">
        <v>419</v>
      </c>
      <c r="G17" s="132"/>
      <c r="H17" s="132"/>
      <c r="I17" s="132"/>
      <c r="J17" s="132"/>
      <c r="K17" s="132"/>
      <c r="L17" s="132"/>
      <c r="M17" s="132"/>
      <c r="N17" s="132"/>
      <c r="O17" s="79">
        <v>1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2</v>
      </c>
      <c r="F18" s="135" t="s">
        <v>420</v>
      </c>
      <c r="G18" s="132"/>
      <c r="H18" s="132"/>
      <c r="I18" s="132"/>
      <c r="J18" s="132"/>
      <c r="K18" s="132"/>
      <c r="L18" s="132"/>
      <c r="M18" s="132"/>
      <c r="N18" s="132"/>
      <c r="O18" s="79">
        <v>3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2</v>
      </c>
      <c r="F19" s="132" t="s">
        <v>421</v>
      </c>
      <c r="G19" s="132"/>
      <c r="H19" s="132"/>
      <c r="I19" s="132"/>
      <c r="J19" s="132"/>
      <c r="K19" s="132"/>
      <c r="L19" s="132"/>
      <c r="M19" s="132"/>
      <c r="N19" s="132"/>
      <c r="O19" s="79">
        <v>2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2</v>
      </c>
      <c r="F20" s="132" t="s">
        <v>422</v>
      </c>
      <c r="G20" s="132"/>
      <c r="H20" s="132"/>
      <c r="I20" s="132"/>
      <c r="J20" s="132"/>
      <c r="K20" s="132"/>
      <c r="L20" s="132"/>
      <c r="M20" s="132"/>
      <c r="N20" s="132"/>
      <c r="O20" s="79">
        <v>4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2</v>
      </c>
      <c r="F21" s="132" t="s">
        <v>423</v>
      </c>
      <c r="G21" s="132"/>
      <c r="H21" s="132"/>
      <c r="I21" s="132"/>
      <c r="J21" s="132"/>
      <c r="K21" s="132"/>
      <c r="L21" s="132"/>
      <c r="M21" s="132"/>
      <c r="N21" s="132"/>
      <c r="O21" s="79">
        <v>1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2</v>
      </c>
      <c r="F22" s="132" t="s">
        <v>424</v>
      </c>
      <c r="G22" s="132"/>
      <c r="H22" s="132"/>
      <c r="I22" s="132"/>
      <c r="J22" s="132"/>
      <c r="K22" s="132"/>
      <c r="L22" s="132"/>
      <c r="M22" s="132"/>
      <c r="N22" s="132"/>
      <c r="O22" s="79">
        <v>4</v>
      </c>
    </row>
    <row r="23" spans="2:15" s="10" customFormat="1" ht="207" customHeight="1" x14ac:dyDescent="0.3">
      <c r="B23" s="42">
        <v>18</v>
      </c>
      <c r="C23" s="41">
        <f t="shared" si="0"/>
        <v>2.5</v>
      </c>
      <c r="D23" s="41" t="s">
        <v>14</v>
      </c>
      <c r="E23" s="41" t="s">
        <v>25</v>
      </c>
      <c r="F23" s="132" t="s">
        <v>939</v>
      </c>
      <c r="G23" s="132"/>
      <c r="H23" s="132"/>
      <c r="I23" s="132"/>
      <c r="J23" s="132"/>
      <c r="K23" s="132"/>
      <c r="L23" s="132"/>
      <c r="M23" s="132"/>
      <c r="N23" s="132"/>
      <c r="O23" s="79" t="s">
        <v>10</v>
      </c>
    </row>
    <row r="24" spans="2:15" s="10" customFormat="1" ht="207" customHeight="1" x14ac:dyDescent="0.3">
      <c r="B24" s="42">
        <v>19</v>
      </c>
      <c r="C24" s="41">
        <f t="shared" si="0"/>
        <v>5</v>
      </c>
      <c r="D24" s="41" t="s">
        <v>14</v>
      </c>
      <c r="E24" s="41" t="s">
        <v>69</v>
      </c>
      <c r="F24" s="132" t="s">
        <v>90</v>
      </c>
      <c r="G24" s="132"/>
      <c r="H24" s="132"/>
      <c r="I24" s="132"/>
      <c r="J24" s="132"/>
      <c r="K24" s="132"/>
      <c r="L24" s="132"/>
      <c r="M24" s="132"/>
      <c r="N24" s="132"/>
      <c r="O24" s="79" t="s">
        <v>11</v>
      </c>
    </row>
    <row r="25" spans="2:15" s="10" customFormat="1" ht="207" customHeight="1" x14ac:dyDescent="0.3">
      <c r="B25" s="42">
        <v>20</v>
      </c>
      <c r="C25" s="41">
        <f t="shared" si="0"/>
        <v>5</v>
      </c>
      <c r="D25" s="41" t="s">
        <v>14</v>
      </c>
      <c r="E25" s="41" t="s">
        <v>69</v>
      </c>
      <c r="F25" s="132" t="s">
        <v>91</v>
      </c>
      <c r="G25" s="132"/>
      <c r="H25" s="132"/>
      <c r="I25" s="132"/>
      <c r="J25" s="132"/>
      <c r="K25" s="132"/>
      <c r="L25" s="132"/>
      <c r="M25" s="132"/>
      <c r="N25" s="132"/>
      <c r="O25" s="81" t="s">
        <v>99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14</v>
      </c>
      <c r="E26" s="41" t="s">
        <v>69</v>
      </c>
      <c r="F26" s="132" t="s">
        <v>92</v>
      </c>
      <c r="G26" s="132"/>
      <c r="H26" s="132"/>
      <c r="I26" s="132"/>
      <c r="J26" s="132"/>
      <c r="K26" s="132"/>
      <c r="L26" s="132"/>
      <c r="M26" s="132"/>
      <c r="N26" s="132"/>
      <c r="O26" s="96" t="s">
        <v>93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14</v>
      </c>
      <c r="E27" s="41" t="s">
        <v>69</v>
      </c>
      <c r="F27" s="132" t="s">
        <v>94</v>
      </c>
      <c r="G27" s="133"/>
      <c r="H27" s="133"/>
      <c r="I27" s="133"/>
      <c r="J27" s="133"/>
      <c r="K27" s="133"/>
      <c r="L27" s="133"/>
      <c r="M27" s="133"/>
      <c r="N27" s="133"/>
      <c r="O27" s="79" t="s">
        <v>12</v>
      </c>
    </row>
    <row r="28" spans="2:15" s="10" customFormat="1" ht="207" customHeight="1" x14ac:dyDescent="0.3">
      <c r="B28" s="42">
        <v>23</v>
      </c>
      <c r="C28" s="41">
        <f t="shared" si="0"/>
        <v>4</v>
      </c>
      <c r="D28" s="41" t="s">
        <v>14</v>
      </c>
      <c r="E28" s="41" t="s">
        <v>2</v>
      </c>
      <c r="F28" s="132" t="s">
        <v>425</v>
      </c>
      <c r="G28" s="132"/>
      <c r="H28" s="132"/>
      <c r="I28" s="132"/>
      <c r="J28" s="132"/>
      <c r="K28" s="132"/>
      <c r="L28" s="132"/>
      <c r="M28" s="132"/>
      <c r="N28" s="132"/>
      <c r="O28" s="79">
        <v>1</v>
      </c>
    </row>
    <row r="29" spans="2:15" s="10" customFormat="1" ht="207" customHeight="1" x14ac:dyDescent="0.3">
      <c r="B29" s="42">
        <v>24</v>
      </c>
      <c r="C29" s="41">
        <f t="shared" si="0"/>
        <v>4</v>
      </c>
      <c r="D29" s="41" t="s">
        <v>14</v>
      </c>
      <c r="E29" s="41" t="s">
        <v>2</v>
      </c>
      <c r="F29" s="132" t="s">
        <v>426</v>
      </c>
      <c r="G29" s="132"/>
      <c r="H29" s="132"/>
      <c r="I29" s="132"/>
      <c r="J29" s="132"/>
      <c r="K29" s="132"/>
      <c r="L29" s="132"/>
      <c r="M29" s="132"/>
      <c r="N29" s="132"/>
      <c r="O29" s="79">
        <v>3</v>
      </c>
    </row>
    <row r="30" spans="2:15" s="10" customFormat="1" ht="207" customHeight="1" x14ac:dyDescent="0.3">
      <c r="B30" s="42">
        <v>25</v>
      </c>
      <c r="C30" s="41">
        <f t="shared" si="0"/>
        <v>4</v>
      </c>
      <c r="D30" s="41" t="s">
        <v>14</v>
      </c>
      <c r="E30" s="41" t="s">
        <v>2</v>
      </c>
      <c r="F30" s="132" t="s">
        <v>1006</v>
      </c>
      <c r="G30" s="132"/>
      <c r="H30" s="132"/>
      <c r="I30" s="132"/>
      <c r="J30" s="132"/>
      <c r="K30" s="132"/>
      <c r="L30" s="132"/>
      <c r="M30" s="132"/>
      <c r="N30" s="132"/>
      <c r="O30" s="79">
        <v>3</v>
      </c>
    </row>
    <row r="31" spans="2:15" s="10" customFormat="1" ht="207" customHeight="1" x14ac:dyDescent="0.3">
      <c r="B31" s="42">
        <v>26</v>
      </c>
      <c r="C31" s="41">
        <f t="shared" si="0"/>
        <v>2.5</v>
      </c>
      <c r="D31" s="41" t="s">
        <v>14</v>
      </c>
      <c r="E31" s="41" t="s">
        <v>25</v>
      </c>
      <c r="F31" s="132" t="s">
        <v>428</v>
      </c>
      <c r="G31" s="132"/>
      <c r="H31" s="132"/>
      <c r="I31" s="132"/>
      <c r="J31" s="132"/>
      <c r="K31" s="132"/>
      <c r="L31" s="132"/>
      <c r="M31" s="132"/>
      <c r="N31" s="132"/>
      <c r="O31" s="89">
        <v>3</v>
      </c>
    </row>
    <row r="32" spans="2:15" s="10" customFormat="1" ht="207" customHeight="1" x14ac:dyDescent="0.3">
      <c r="B32" s="42">
        <v>27</v>
      </c>
      <c r="C32" s="41">
        <f t="shared" si="0"/>
        <v>2.5</v>
      </c>
      <c r="D32" s="41" t="s">
        <v>14</v>
      </c>
      <c r="E32" s="41" t="s">
        <v>25</v>
      </c>
      <c r="F32" s="132" t="s">
        <v>429</v>
      </c>
      <c r="G32" s="132"/>
      <c r="H32" s="132"/>
      <c r="I32" s="132"/>
      <c r="J32" s="132"/>
      <c r="K32" s="132"/>
      <c r="L32" s="132"/>
      <c r="M32" s="132"/>
      <c r="N32" s="132"/>
      <c r="O32" s="80">
        <v>2</v>
      </c>
    </row>
    <row r="33" spans="2:15" s="10" customFormat="1" ht="207" customHeight="1" x14ac:dyDescent="0.3">
      <c r="B33" s="42">
        <v>28</v>
      </c>
      <c r="C33" s="41">
        <f t="shared" si="0"/>
        <v>4</v>
      </c>
      <c r="D33" s="41" t="s">
        <v>14</v>
      </c>
      <c r="E33" s="41" t="s">
        <v>2</v>
      </c>
      <c r="F33" s="132" t="s">
        <v>430</v>
      </c>
      <c r="G33" s="132"/>
      <c r="H33" s="132"/>
      <c r="I33" s="132"/>
      <c r="J33" s="132"/>
      <c r="K33" s="132"/>
      <c r="L33" s="132"/>
      <c r="M33" s="132"/>
      <c r="N33" s="132"/>
      <c r="O33" s="80">
        <v>3</v>
      </c>
    </row>
    <row r="34" spans="2:15" s="10" customFormat="1" ht="207" customHeight="1" x14ac:dyDescent="0.3">
      <c r="B34" s="42">
        <v>29</v>
      </c>
      <c r="C34" s="41">
        <f t="shared" si="0"/>
        <v>5</v>
      </c>
      <c r="D34" s="41" t="s">
        <v>14</v>
      </c>
      <c r="E34" s="41" t="s">
        <v>3</v>
      </c>
      <c r="F34" s="132" t="s">
        <v>289</v>
      </c>
      <c r="G34" s="132"/>
      <c r="H34" s="132"/>
      <c r="I34" s="132"/>
      <c r="J34" s="132"/>
      <c r="K34" s="132"/>
      <c r="L34" s="132"/>
      <c r="M34" s="132"/>
      <c r="N34" s="132"/>
      <c r="O34" s="83" t="s">
        <v>290</v>
      </c>
    </row>
    <row r="35" spans="2:15" s="10" customFormat="1" ht="207" customHeight="1" x14ac:dyDescent="0.3">
      <c r="B35" s="42">
        <v>30</v>
      </c>
      <c r="C35" s="41">
        <f t="shared" si="0"/>
        <v>5</v>
      </c>
      <c r="D35" s="41" t="s">
        <v>14</v>
      </c>
      <c r="E35" s="41" t="s">
        <v>3</v>
      </c>
      <c r="F35" s="132" t="s">
        <v>291</v>
      </c>
      <c r="G35" s="132"/>
      <c r="H35" s="132"/>
      <c r="I35" s="132"/>
      <c r="J35" s="132"/>
      <c r="K35" s="132"/>
      <c r="L35" s="132"/>
      <c r="M35" s="132"/>
      <c r="N35" s="132"/>
      <c r="O35" s="83" t="s">
        <v>292</v>
      </c>
    </row>
  </sheetData>
  <mergeCells count="33"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20:N20"/>
    <mergeCell ref="F21:N21"/>
    <mergeCell ref="F22:N22"/>
    <mergeCell ref="F23:N23"/>
    <mergeCell ref="F24:N24"/>
    <mergeCell ref="F15:N15"/>
    <mergeCell ref="F16:N16"/>
    <mergeCell ref="F17:N17"/>
    <mergeCell ref="F18:N18"/>
    <mergeCell ref="F19:N19"/>
    <mergeCell ref="F32:N32"/>
    <mergeCell ref="F33:N33"/>
    <mergeCell ref="F34:N34"/>
    <mergeCell ref="F35:N35"/>
    <mergeCell ref="F26:N26"/>
    <mergeCell ref="F27:N27"/>
    <mergeCell ref="F28:N28"/>
    <mergeCell ref="F29:N29"/>
    <mergeCell ref="F30:N30"/>
    <mergeCell ref="F31:N3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B2:O32"/>
  <sheetViews>
    <sheetView showGridLines="0" topLeftCell="A3" zoomScale="40" zoomScaleNormal="40" zoomScaleSheetLayoutView="55" workbookViewId="0">
      <selection activeCell="Y8" sqref="Y8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95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56"/>
      <c r="H4" s="56"/>
      <c r="I4" s="56"/>
      <c r="J4" s="56"/>
      <c r="K4" s="56"/>
      <c r="L4" s="56"/>
      <c r="M4" s="56"/>
      <c r="N4" s="56"/>
    </row>
    <row r="5" spans="2:15" ht="49.5" customHeight="1" x14ac:dyDescent="0.3">
      <c r="B5" s="36" t="s">
        <v>0</v>
      </c>
      <c r="C5" s="57" t="s">
        <v>20</v>
      </c>
      <c r="D5" s="57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52</v>
      </c>
      <c r="E6" s="41" t="s">
        <v>61</v>
      </c>
      <c r="F6" s="132" t="s">
        <v>445</v>
      </c>
      <c r="G6" s="132"/>
      <c r="H6" s="132"/>
      <c r="I6" s="132"/>
      <c r="J6" s="132"/>
      <c r="K6" s="132"/>
      <c r="L6" s="132"/>
      <c r="M6" s="132"/>
      <c r="N6" s="132"/>
      <c r="O6" s="80">
        <v>2</v>
      </c>
    </row>
    <row r="7" spans="2:15" s="10" customFormat="1" ht="206.25" customHeight="1" x14ac:dyDescent="0.3">
      <c r="B7" s="42">
        <v>2</v>
      </c>
      <c r="C7" s="41">
        <f t="shared" ref="C7:C32" si="0">IF(E7="공통",2.5,IF(E7="객관식",4,IF(E7="주관식",5,"")))</f>
        <v>4</v>
      </c>
      <c r="D7" s="41" t="s">
        <v>52</v>
      </c>
      <c r="E7" s="41" t="s">
        <v>61</v>
      </c>
      <c r="F7" s="132" t="s">
        <v>500</v>
      </c>
      <c r="G7" s="140"/>
      <c r="H7" s="140"/>
      <c r="I7" s="140"/>
      <c r="J7" s="140"/>
      <c r="K7" s="140"/>
      <c r="L7" s="140"/>
      <c r="M7" s="140"/>
      <c r="N7" s="141"/>
      <c r="O7" s="80">
        <v>3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52</v>
      </c>
      <c r="E8" s="41" t="s">
        <v>61</v>
      </c>
      <c r="F8" s="132" t="s">
        <v>411</v>
      </c>
      <c r="G8" s="132"/>
      <c r="H8" s="132"/>
      <c r="I8" s="132"/>
      <c r="J8" s="132"/>
      <c r="K8" s="132"/>
      <c r="L8" s="132"/>
      <c r="M8" s="132"/>
      <c r="N8" s="132"/>
      <c r="O8" s="79">
        <v>4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52</v>
      </c>
      <c r="E9" s="41" t="s">
        <v>61</v>
      </c>
      <c r="F9" s="132" t="s">
        <v>446</v>
      </c>
      <c r="G9" s="132"/>
      <c r="H9" s="132"/>
      <c r="I9" s="132"/>
      <c r="J9" s="132"/>
      <c r="K9" s="132"/>
      <c r="L9" s="132"/>
      <c r="M9" s="132"/>
      <c r="N9" s="132"/>
      <c r="O9" s="79">
        <v>2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52</v>
      </c>
      <c r="E10" s="41" t="s">
        <v>61</v>
      </c>
      <c r="F10" s="132" t="s">
        <v>536</v>
      </c>
      <c r="G10" s="132"/>
      <c r="H10" s="132"/>
      <c r="I10" s="132"/>
      <c r="J10" s="132"/>
      <c r="K10" s="132"/>
      <c r="L10" s="132"/>
      <c r="M10" s="132"/>
      <c r="N10" s="132"/>
      <c r="O10" s="79">
        <v>1</v>
      </c>
    </row>
    <row r="11" spans="2:15" s="10" customFormat="1" ht="310.5" customHeight="1" x14ac:dyDescent="0.3">
      <c r="B11" s="42">
        <v>6</v>
      </c>
      <c r="C11" s="41">
        <f t="shared" si="0"/>
        <v>4</v>
      </c>
      <c r="D11" s="41" t="s">
        <v>52</v>
      </c>
      <c r="E11" s="41" t="s">
        <v>2</v>
      </c>
      <c r="F11" s="132" t="s">
        <v>923</v>
      </c>
      <c r="G11" s="132"/>
      <c r="H11" s="132"/>
      <c r="I11" s="132"/>
      <c r="J11" s="132"/>
      <c r="K11" s="132"/>
      <c r="L11" s="132"/>
      <c r="M11" s="132"/>
      <c r="N11" s="132"/>
      <c r="O11" s="79">
        <v>2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52</v>
      </c>
      <c r="E12" s="41" t="s">
        <v>2</v>
      </c>
      <c r="F12" s="132" t="s">
        <v>447</v>
      </c>
      <c r="G12" s="132"/>
      <c r="H12" s="132"/>
      <c r="I12" s="132"/>
      <c r="J12" s="132"/>
      <c r="K12" s="132"/>
      <c r="L12" s="132"/>
      <c r="M12" s="132"/>
      <c r="N12" s="132"/>
      <c r="O12" s="80">
        <v>2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52</v>
      </c>
      <c r="E13" s="41" t="s">
        <v>61</v>
      </c>
      <c r="F13" s="132" t="s">
        <v>537</v>
      </c>
      <c r="G13" s="132"/>
      <c r="H13" s="132"/>
      <c r="I13" s="132"/>
      <c r="J13" s="132"/>
      <c r="K13" s="132"/>
      <c r="L13" s="132"/>
      <c r="M13" s="132"/>
      <c r="N13" s="132"/>
      <c r="O13" s="79">
        <v>1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52</v>
      </c>
      <c r="E14" s="41" t="s">
        <v>2</v>
      </c>
      <c r="F14" s="132" t="s">
        <v>538</v>
      </c>
      <c r="G14" s="132"/>
      <c r="H14" s="132"/>
      <c r="I14" s="132"/>
      <c r="J14" s="132"/>
      <c r="K14" s="132"/>
      <c r="L14" s="132"/>
      <c r="M14" s="132"/>
      <c r="N14" s="132"/>
      <c r="O14" s="79">
        <v>3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52</v>
      </c>
      <c r="E15" s="41" t="s">
        <v>61</v>
      </c>
      <c r="F15" s="132" t="s">
        <v>416</v>
      </c>
      <c r="G15" s="132"/>
      <c r="H15" s="132"/>
      <c r="I15" s="132"/>
      <c r="J15" s="132"/>
      <c r="K15" s="132"/>
      <c r="L15" s="132"/>
      <c r="M15" s="132"/>
      <c r="N15" s="132"/>
      <c r="O15" s="79">
        <v>4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52</v>
      </c>
      <c r="E16" s="41" t="s">
        <v>61</v>
      </c>
      <c r="F16" s="132" t="s">
        <v>539</v>
      </c>
      <c r="G16" s="132"/>
      <c r="H16" s="132"/>
      <c r="I16" s="132"/>
      <c r="J16" s="132"/>
      <c r="K16" s="132"/>
      <c r="L16" s="132"/>
      <c r="M16" s="132"/>
      <c r="N16" s="132"/>
      <c r="O16" s="79">
        <v>4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52</v>
      </c>
      <c r="E17" s="41" t="s">
        <v>61</v>
      </c>
      <c r="F17" s="132" t="s">
        <v>540</v>
      </c>
      <c r="G17" s="132"/>
      <c r="H17" s="132"/>
      <c r="I17" s="132"/>
      <c r="J17" s="132"/>
      <c r="K17" s="132"/>
      <c r="L17" s="132"/>
      <c r="M17" s="132"/>
      <c r="N17" s="132"/>
      <c r="O17" s="79">
        <v>3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52</v>
      </c>
      <c r="E18" s="41" t="s">
        <v>61</v>
      </c>
      <c r="F18" s="135" t="s">
        <v>541</v>
      </c>
      <c r="G18" s="132"/>
      <c r="H18" s="132"/>
      <c r="I18" s="132"/>
      <c r="J18" s="132"/>
      <c r="K18" s="132"/>
      <c r="L18" s="132"/>
      <c r="M18" s="132"/>
      <c r="N18" s="132"/>
      <c r="O18" s="79">
        <v>1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52</v>
      </c>
      <c r="E19" s="41" t="s">
        <v>2</v>
      </c>
      <c r="F19" s="132" t="s">
        <v>448</v>
      </c>
      <c r="G19" s="132"/>
      <c r="H19" s="132"/>
      <c r="I19" s="132"/>
      <c r="J19" s="132"/>
      <c r="K19" s="132"/>
      <c r="L19" s="132"/>
      <c r="M19" s="132"/>
      <c r="N19" s="132"/>
      <c r="O19" s="79">
        <v>3</v>
      </c>
    </row>
    <row r="20" spans="2:15" s="10" customFormat="1" ht="207" customHeight="1" x14ac:dyDescent="0.3">
      <c r="B20" s="42">
        <v>15</v>
      </c>
      <c r="C20" s="41">
        <f t="shared" si="0"/>
        <v>2.5</v>
      </c>
      <c r="D20" s="41" t="s">
        <v>52</v>
      </c>
      <c r="E20" s="41" t="s">
        <v>25</v>
      </c>
      <c r="F20" s="132" t="s">
        <v>542</v>
      </c>
      <c r="G20" s="132"/>
      <c r="H20" s="132"/>
      <c r="I20" s="132"/>
      <c r="J20" s="132"/>
      <c r="K20" s="132"/>
      <c r="L20" s="132"/>
      <c r="M20" s="132"/>
      <c r="N20" s="132"/>
      <c r="O20" s="79">
        <v>2</v>
      </c>
    </row>
    <row r="21" spans="2:15" s="10" customFormat="1" ht="207" customHeight="1" x14ac:dyDescent="0.3">
      <c r="B21" s="42">
        <v>16</v>
      </c>
      <c r="C21" s="41">
        <f t="shared" si="0"/>
        <v>2.5</v>
      </c>
      <c r="D21" s="41" t="s">
        <v>52</v>
      </c>
      <c r="E21" s="41" t="s">
        <v>25</v>
      </c>
      <c r="F21" s="132" t="s">
        <v>543</v>
      </c>
      <c r="G21" s="132"/>
      <c r="H21" s="132"/>
      <c r="I21" s="132"/>
      <c r="J21" s="132"/>
      <c r="K21" s="132"/>
      <c r="L21" s="132"/>
      <c r="M21" s="132"/>
      <c r="N21" s="132"/>
      <c r="O21" s="79">
        <v>4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52</v>
      </c>
      <c r="E22" s="41" t="s">
        <v>62</v>
      </c>
      <c r="F22" s="132" t="s">
        <v>544</v>
      </c>
      <c r="G22" s="132"/>
      <c r="H22" s="132"/>
      <c r="I22" s="132"/>
      <c r="J22" s="132"/>
      <c r="K22" s="132"/>
      <c r="L22" s="132"/>
      <c r="M22" s="132"/>
      <c r="N22" s="132"/>
      <c r="O22" s="79">
        <v>3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52</v>
      </c>
      <c r="E23" s="41" t="s">
        <v>13</v>
      </c>
      <c r="F23" s="132" t="s">
        <v>427</v>
      </c>
      <c r="G23" s="132"/>
      <c r="H23" s="132"/>
      <c r="I23" s="132"/>
      <c r="J23" s="132"/>
      <c r="K23" s="132"/>
      <c r="L23" s="132"/>
      <c r="M23" s="132"/>
      <c r="N23" s="132"/>
      <c r="O23" s="79">
        <v>3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52</v>
      </c>
      <c r="E24" s="41" t="s">
        <v>13</v>
      </c>
      <c r="F24" s="132" t="s">
        <v>423</v>
      </c>
      <c r="G24" s="132"/>
      <c r="H24" s="132"/>
      <c r="I24" s="132"/>
      <c r="J24" s="132"/>
      <c r="K24" s="132"/>
      <c r="L24" s="132"/>
      <c r="M24" s="132"/>
      <c r="N24" s="132"/>
      <c r="O24" s="79">
        <v>1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52</v>
      </c>
      <c r="E25" s="41" t="s">
        <v>13</v>
      </c>
      <c r="F25" s="132" t="s">
        <v>545</v>
      </c>
      <c r="G25" s="132"/>
      <c r="H25" s="132"/>
      <c r="I25" s="132"/>
      <c r="J25" s="132"/>
      <c r="K25" s="132"/>
      <c r="L25" s="132"/>
      <c r="M25" s="132"/>
      <c r="N25" s="132"/>
      <c r="O25" s="79">
        <v>4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14</v>
      </c>
      <c r="E26" s="41" t="s">
        <v>3</v>
      </c>
      <c r="F26" s="132" t="s">
        <v>940</v>
      </c>
      <c r="G26" s="132"/>
      <c r="H26" s="132"/>
      <c r="I26" s="132"/>
      <c r="J26" s="132"/>
      <c r="K26" s="132"/>
      <c r="L26" s="132"/>
      <c r="M26" s="132"/>
      <c r="N26" s="132"/>
      <c r="O26" s="96" t="s">
        <v>97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52</v>
      </c>
      <c r="E27" s="41" t="s">
        <v>69</v>
      </c>
      <c r="F27" s="132" t="s">
        <v>96</v>
      </c>
      <c r="G27" s="133"/>
      <c r="H27" s="133"/>
      <c r="I27" s="133"/>
      <c r="J27" s="133"/>
      <c r="K27" s="133"/>
      <c r="L27" s="133"/>
      <c r="M27" s="133"/>
      <c r="N27" s="133"/>
      <c r="O27" s="79" t="s">
        <v>100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52</v>
      </c>
      <c r="E28" s="41" t="s">
        <v>16</v>
      </c>
      <c r="F28" s="132" t="s">
        <v>98</v>
      </c>
      <c r="G28" s="132"/>
      <c r="H28" s="132"/>
      <c r="I28" s="132"/>
      <c r="J28" s="132"/>
      <c r="K28" s="132"/>
      <c r="L28" s="132"/>
      <c r="M28" s="132"/>
      <c r="N28" s="132"/>
      <c r="O28" s="79" t="s">
        <v>101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52</v>
      </c>
      <c r="E29" s="41" t="s">
        <v>3</v>
      </c>
      <c r="F29" s="132" t="s">
        <v>102</v>
      </c>
      <c r="G29" s="132"/>
      <c r="H29" s="132"/>
      <c r="I29" s="132"/>
      <c r="J29" s="132"/>
      <c r="K29" s="132"/>
      <c r="L29" s="132"/>
      <c r="M29" s="132"/>
      <c r="N29" s="132"/>
      <c r="O29" s="79" t="s">
        <v>103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52</v>
      </c>
      <c r="E30" s="41" t="s">
        <v>16</v>
      </c>
      <c r="F30" s="132" t="s">
        <v>104</v>
      </c>
      <c r="G30" s="132"/>
      <c r="H30" s="132"/>
      <c r="I30" s="132"/>
      <c r="J30" s="132"/>
      <c r="K30" s="132"/>
      <c r="L30" s="132"/>
      <c r="M30" s="132"/>
      <c r="N30" s="132"/>
      <c r="O30" s="79" t="s">
        <v>105</v>
      </c>
    </row>
    <row r="31" spans="2:15" s="10" customFormat="1" ht="207" customHeight="1" x14ac:dyDescent="0.3">
      <c r="B31" s="42">
        <v>26</v>
      </c>
      <c r="C31" s="41">
        <f t="shared" si="0"/>
        <v>4</v>
      </c>
      <c r="D31" s="41" t="s">
        <v>52</v>
      </c>
      <c r="E31" s="41" t="s">
        <v>2</v>
      </c>
      <c r="F31" s="132" t="s">
        <v>428</v>
      </c>
      <c r="G31" s="132"/>
      <c r="H31" s="132"/>
      <c r="I31" s="132"/>
      <c r="J31" s="132"/>
      <c r="K31" s="132"/>
      <c r="L31" s="132"/>
      <c r="M31" s="132"/>
      <c r="N31" s="132"/>
      <c r="O31" s="89">
        <v>3</v>
      </c>
    </row>
    <row r="32" spans="2:15" s="10" customFormat="1" ht="207" customHeight="1" x14ac:dyDescent="0.3">
      <c r="B32" s="42">
        <v>27</v>
      </c>
      <c r="C32" s="41">
        <f t="shared" si="0"/>
        <v>4</v>
      </c>
      <c r="D32" s="41" t="s">
        <v>52</v>
      </c>
      <c r="E32" s="41" t="s">
        <v>2</v>
      </c>
      <c r="F32" s="132" t="s">
        <v>429</v>
      </c>
      <c r="G32" s="132"/>
      <c r="H32" s="132"/>
      <c r="I32" s="132"/>
      <c r="J32" s="132"/>
      <c r="K32" s="132"/>
      <c r="L32" s="132"/>
      <c r="M32" s="132"/>
      <c r="N32" s="132"/>
      <c r="O32" s="80">
        <v>2</v>
      </c>
    </row>
  </sheetData>
  <mergeCells count="30">
    <mergeCell ref="F32:N32"/>
    <mergeCell ref="F27:N27"/>
    <mergeCell ref="F28:N28"/>
    <mergeCell ref="F29:N29"/>
    <mergeCell ref="F30:N30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8"/>
  <dimension ref="B2:O36"/>
  <sheetViews>
    <sheetView showGridLines="0" topLeftCell="A33" zoomScale="40" zoomScaleNormal="40" zoomScaleSheetLayoutView="55" workbookViewId="0">
      <selection activeCell="V30" sqref="V30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148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0"/>
      <c r="H4" s="60"/>
      <c r="I4" s="60"/>
      <c r="J4" s="60"/>
      <c r="K4" s="60"/>
      <c r="L4" s="60"/>
      <c r="M4" s="60"/>
      <c r="N4" s="60"/>
    </row>
    <row r="5" spans="2:15" ht="49.5" customHeight="1" x14ac:dyDescent="0.3">
      <c r="B5" s="36" t="s">
        <v>0</v>
      </c>
      <c r="C5" s="61" t="s">
        <v>20</v>
      </c>
      <c r="D5" s="61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117</v>
      </c>
      <c r="E6" s="41" t="s">
        <v>13</v>
      </c>
      <c r="F6" s="132" t="s">
        <v>550</v>
      </c>
      <c r="G6" s="132"/>
      <c r="H6" s="132"/>
      <c r="I6" s="132"/>
      <c r="J6" s="132"/>
      <c r="K6" s="132"/>
      <c r="L6" s="132"/>
      <c r="M6" s="132"/>
      <c r="N6" s="132"/>
      <c r="O6" s="80">
        <v>4</v>
      </c>
    </row>
    <row r="7" spans="2:15" s="10" customFormat="1" ht="206.25" customHeight="1" x14ac:dyDescent="0.3">
      <c r="B7" s="42">
        <v>2</v>
      </c>
      <c r="C7" s="41">
        <f t="shared" ref="C7:C36" si="0">IF(E7="공통",2.5,IF(E7="객관식",4,IF(E7="주관식",5,"")))</f>
        <v>4</v>
      </c>
      <c r="D7" s="41" t="s">
        <v>14</v>
      </c>
      <c r="E7" s="41" t="s">
        <v>13</v>
      </c>
      <c r="F7" s="132" t="s">
        <v>551</v>
      </c>
      <c r="G7" s="140"/>
      <c r="H7" s="140"/>
      <c r="I7" s="140"/>
      <c r="J7" s="140"/>
      <c r="K7" s="140"/>
      <c r="L7" s="140"/>
      <c r="M7" s="140"/>
      <c r="N7" s="141"/>
      <c r="O7" s="79">
        <v>2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14</v>
      </c>
      <c r="E8" s="41" t="s">
        <v>13</v>
      </c>
      <c r="F8" s="132" t="s">
        <v>552</v>
      </c>
      <c r="G8" s="132"/>
      <c r="H8" s="132"/>
      <c r="I8" s="132"/>
      <c r="J8" s="132"/>
      <c r="K8" s="132"/>
      <c r="L8" s="132"/>
      <c r="M8" s="132"/>
      <c r="N8" s="132"/>
      <c r="O8" s="79">
        <v>1</v>
      </c>
    </row>
    <row r="9" spans="2:15" s="10" customFormat="1" ht="325.5" customHeight="1" x14ac:dyDescent="0.3">
      <c r="B9" s="42">
        <v>4</v>
      </c>
      <c r="C9" s="41">
        <f t="shared" si="0"/>
        <v>4</v>
      </c>
      <c r="D9" s="41" t="s">
        <v>14</v>
      </c>
      <c r="E9" s="41" t="s">
        <v>13</v>
      </c>
      <c r="F9" s="132" t="s">
        <v>928</v>
      </c>
      <c r="G9" s="132"/>
      <c r="H9" s="132"/>
      <c r="I9" s="132"/>
      <c r="J9" s="132"/>
      <c r="K9" s="132"/>
      <c r="L9" s="132"/>
      <c r="M9" s="132"/>
      <c r="N9" s="132"/>
      <c r="O9" s="79">
        <v>2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13</v>
      </c>
      <c r="F10" s="132" t="s">
        <v>965</v>
      </c>
      <c r="G10" s="132"/>
      <c r="H10" s="132"/>
      <c r="I10" s="132"/>
      <c r="J10" s="132"/>
      <c r="K10" s="132"/>
      <c r="L10" s="132"/>
      <c r="M10" s="132"/>
      <c r="N10" s="132"/>
      <c r="O10" s="79">
        <v>2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14</v>
      </c>
      <c r="E11" s="41" t="s">
        <v>13</v>
      </c>
      <c r="F11" s="132" t="s">
        <v>966</v>
      </c>
      <c r="G11" s="132"/>
      <c r="H11" s="132"/>
      <c r="I11" s="132"/>
      <c r="J11" s="132"/>
      <c r="K11" s="132"/>
      <c r="L11" s="132"/>
      <c r="M11" s="132"/>
      <c r="N11" s="132"/>
      <c r="O11" s="79">
        <v>4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13</v>
      </c>
      <c r="F12" s="132" t="s">
        <v>967</v>
      </c>
      <c r="G12" s="132"/>
      <c r="H12" s="132"/>
      <c r="I12" s="132"/>
      <c r="J12" s="132"/>
      <c r="K12" s="132"/>
      <c r="L12" s="132"/>
      <c r="M12" s="132"/>
      <c r="N12" s="132"/>
      <c r="O12" s="80">
        <v>3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13</v>
      </c>
      <c r="F13" s="132" t="s">
        <v>566</v>
      </c>
      <c r="G13" s="132"/>
      <c r="H13" s="132"/>
      <c r="I13" s="132"/>
      <c r="J13" s="132"/>
      <c r="K13" s="132"/>
      <c r="L13" s="132"/>
      <c r="M13" s="132"/>
      <c r="N13" s="132"/>
      <c r="O13" s="79">
        <v>4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2</v>
      </c>
      <c r="F14" s="132" t="s">
        <v>968</v>
      </c>
      <c r="G14" s="132"/>
      <c r="H14" s="132"/>
      <c r="I14" s="132"/>
      <c r="J14" s="132"/>
      <c r="K14" s="132"/>
      <c r="L14" s="132"/>
      <c r="M14" s="132"/>
      <c r="N14" s="132"/>
      <c r="O14" s="79">
        <v>1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13</v>
      </c>
      <c r="F15" s="132" t="s">
        <v>969</v>
      </c>
      <c r="G15" s="132"/>
      <c r="H15" s="132"/>
      <c r="I15" s="132"/>
      <c r="J15" s="132"/>
      <c r="K15" s="132"/>
      <c r="L15" s="132"/>
      <c r="M15" s="132"/>
      <c r="N15" s="132"/>
      <c r="O15" s="79">
        <v>2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13</v>
      </c>
      <c r="F16" s="132" t="s">
        <v>970</v>
      </c>
      <c r="G16" s="132"/>
      <c r="H16" s="132"/>
      <c r="I16" s="132"/>
      <c r="J16" s="132"/>
      <c r="K16" s="132"/>
      <c r="L16" s="132"/>
      <c r="M16" s="132"/>
      <c r="N16" s="132"/>
      <c r="O16" s="80">
        <v>2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13</v>
      </c>
      <c r="F17" s="135" t="s">
        <v>971</v>
      </c>
      <c r="G17" s="132"/>
      <c r="H17" s="132"/>
      <c r="I17" s="132"/>
      <c r="J17" s="132"/>
      <c r="K17" s="132"/>
      <c r="L17" s="132"/>
      <c r="M17" s="132"/>
      <c r="N17" s="132"/>
      <c r="O17" s="79">
        <v>2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13</v>
      </c>
      <c r="F18" s="132" t="s">
        <v>972</v>
      </c>
      <c r="G18" s="132"/>
      <c r="H18" s="132"/>
      <c r="I18" s="132"/>
      <c r="J18" s="132"/>
      <c r="K18" s="132"/>
      <c r="L18" s="132"/>
      <c r="M18" s="132"/>
      <c r="N18" s="132"/>
      <c r="O18" s="79">
        <v>4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2</v>
      </c>
      <c r="F19" s="132" t="s">
        <v>973</v>
      </c>
      <c r="G19" s="132"/>
      <c r="H19" s="132"/>
      <c r="I19" s="132"/>
      <c r="J19" s="132"/>
      <c r="K19" s="132"/>
      <c r="L19" s="132"/>
      <c r="M19" s="132"/>
      <c r="N19" s="132"/>
      <c r="O19" s="79">
        <v>1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13</v>
      </c>
      <c r="F20" s="132" t="s">
        <v>974</v>
      </c>
      <c r="G20" s="132"/>
      <c r="H20" s="132"/>
      <c r="I20" s="132"/>
      <c r="J20" s="132"/>
      <c r="K20" s="132"/>
      <c r="L20" s="132"/>
      <c r="M20" s="132"/>
      <c r="N20" s="132"/>
      <c r="O20" s="79">
        <v>2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13</v>
      </c>
      <c r="F21" s="132" t="s">
        <v>981</v>
      </c>
      <c r="G21" s="132"/>
      <c r="H21" s="132"/>
      <c r="I21" s="132"/>
      <c r="J21" s="132"/>
      <c r="K21" s="132"/>
      <c r="L21" s="132"/>
      <c r="M21" s="132"/>
      <c r="N21" s="132"/>
      <c r="O21" s="80">
        <v>3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13</v>
      </c>
      <c r="F22" s="132" t="s">
        <v>975</v>
      </c>
      <c r="G22" s="132"/>
      <c r="H22" s="132"/>
      <c r="I22" s="132"/>
      <c r="J22" s="132"/>
      <c r="K22" s="132"/>
      <c r="L22" s="132"/>
      <c r="M22" s="132"/>
      <c r="N22" s="132"/>
      <c r="O22" s="80">
        <v>3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14</v>
      </c>
      <c r="E23" s="41" t="s">
        <v>13</v>
      </c>
      <c r="F23" s="132" t="s">
        <v>976</v>
      </c>
      <c r="G23" s="132"/>
      <c r="H23" s="132"/>
      <c r="I23" s="132"/>
      <c r="J23" s="132"/>
      <c r="K23" s="132"/>
      <c r="L23" s="132"/>
      <c r="M23" s="132"/>
      <c r="N23" s="132"/>
      <c r="O23" s="80">
        <v>3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14</v>
      </c>
      <c r="E24" s="41" t="s">
        <v>13</v>
      </c>
      <c r="F24" s="132" t="s">
        <v>977</v>
      </c>
      <c r="G24" s="132"/>
      <c r="H24" s="132"/>
      <c r="I24" s="132"/>
      <c r="J24" s="132"/>
      <c r="K24" s="132"/>
      <c r="L24" s="132"/>
      <c r="M24" s="132"/>
      <c r="N24" s="132"/>
      <c r="O24" s="79">
        <v>2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14</v>
      </c>
      <c r="E25" s="41" t="s">
        <v>13</v>
      </c>
      <c r="F25" s="132" t="s">
        <v>978</v>
      </c>
      <c r="G25" s="132"/>
      <c r="H25" s="132"/>
      <c r="I25" s="132"/>
      <c r="J25" s="132"/>
      <c r="K25" s="132"/>
      <c r="L25" s="132"/>
      <c r="M25" s="132"/>
      <c r="N25" s="132"/>
      <c r="O25" s="96">
        <v>2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14</v>
      </c>
      <c r="E26" s="41" t="s">
        <v>16</v>
      </c>
      <c r="F26" s="132" t="s">
        <v>118</v>
      </c>
      <c r="G26" s="133"/>
      <c r="H26" s="133"/>
      <c r="I26" s="133"/>
      <c r="J26" s="133"/>
      <c r="K26" s="133"/>
      <c r="L26" s="133"/>
      <c r="M26" s="133"/>
      <c r="N26" s="133"/>
      <c r="O26" s="79" t="s">
        <v>119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14</v>
      </c>
      <c r="E27" s="41" t="s">
        <v>108</v>
      </c>
      <c r="F27" s="135" t="s">
        <v>120</v>
      </c>
      <c r="G27" s="132"/>
      <c r="H27" s="132"/>
      <c r="I27" s="132"/>
      <c r="J27" s="132"/>
      <c r="K27" s="132"/>
      <c r="L27" s="132"/>
      <c r="M27" s="132"/>
      <c r="N27" s="132"/>
      <c r="O27" s="80" t="s">
        <v>121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14</v>
      </c>
      <c r="E28" s="41" t="s">
        <v>16</v>
      </c>
      <c r="F28" s="135" t="s">
        <v>122</v>
      </c>
      <c r="G28" s="132"/>
      <c r="H28" s="132"/>
      <c r="I28" s="132"/>
      <c r="J28" s="132"/>
      <c r="K28" s="132"/>
      <c r="L28" s="132"/>
      <c r="M28" s="132"/>
      <c r="N28" s="132"/>
      <c r="O28" s="80" t="s">
        <v>111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14</v>
      </c>
      <c r="E29" s="41" t="s">
        <v>16</v>
      </c>
      <c r="F29" s="135" t="s">
        <v>123</v>
      </c>
      <c r="G29" s="132"/>
      <c r="H29" s="132"/>
      <c r="I29" s="132"/>
      <c r="J29" s="132"/>
      <c r="K29" s="132"/>
      <c r="L29" s="132"/>
      <c r="M29" s="132"/>
      <c r="N29" s="132"/>
      <c r="O29" s="79" t="s">
        <v>124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14</v>
      </c>
      <c r="E30" s="41" t="s">
        <v>16</v>
      </c>
      <c r="F30" s="132" t="s">
        <v>982</v>
      </c>
      <c r="G30" s="133"/>
      <c r="H30" s="133"/>
      <c r="I30" s="133"/>
      <c r="J30" s="133"/>
      <c r="K30" s="133"/>
      <c r="L30" s="133"/>
      <c r="M30" s="133"/>
      <c r="N30" s="133"/>
      <c r="O30" s="96" t="s">
        <v>125</v>
      </c>
    </row>
    <row r="31" spans="2:15" s="10" customFormat="1" ht="207" customHeight="1" x14ac:dyDescent="0.3">
      <c r="B31" s="42">
        <v>26</v>
      </c>
      <c r="C31" s="41">
        <f t="shared" si="0"/>
        <v>5</v>
      </c>
      <c r="D31" s="41" t="s">
        <v>14</v>
      </c>
      <c r="E31" s="41" t="s">
        <v>16</v>
      </c>
      <c r="F31" s="132" t="s">
        <v>293</v>
      </c>
      <c r="G31" s="132"/>
      <c r="H31" s="132"/>
      <c r="I31" s="132"/>
      <c r="J31" s="132"/>
      <c r="K31" s="132"/>
      <c r="L31" s="132"/>
      <c r="M31" s="132"/>
      <c r="N31" s="132"/>
      <c r="O31" s="96" t="s">
        <v>294</v>
      </c>
    </row>
    <row r="32" spans="2:15" s="10" customFormat="1" ht="207" customHeight="1" x14ac:dyDescent="0.3">
      <c r="B32" s="42">
        <v>27</v>
      </c>
      <c r="C32" s="41">
        <f t="shared" si="0"/>
        <v>4</v>
      </c>
      <c r="D32" s="41" t="s">
        <v>14</v>
      </c>
      <c r="E32" s="41" t="s">
        <v>2</v>
      </c>
      <c r="F32" s="132" t="s">
        <v>979</v>
      </c>
      <c r="G32" s="132"/>
      <c r="H32" s="132"/>
      <c r="I32" s="132"/>
      <c r="J32" s="132"/>
      <c r="K32" s="132"/>
      <c r="L32" s="132"/>
      <c r="M32" s="132"/>
      <c r="N32" s="132"/>
      <c r="O32" s="80">
        <v>3</v>
      </c>
    </row>
    <row r="33" spans="2:15" s="10" customFormat="1" ht="207" customHeight="1" x14ac:dyDescent="0.3">
      <c r="B33" s="42">
        <v>28</v>
      </c>
      <c r="C33" s="41">
        <f t="shared" si="0"/>
        <v>5</v>
      </c>
      <c r="D33" s="41" t="s">
        <v>14</v>
      </c>
      <c r="E33" s="41" t="s">
        <v>16</v>
      </c>
      <c r="F33" s="132" t="s">
        <v>314</v>
      </c>
      <c r="G33" s="132"/>
      <c r="H33" s="132"/>
      <c r="I33" s="132"/>
      <c r="J33" s="132"/>
      <c r="K33" s="132"/>
      <c r="L33" s="132"/>
      <c r="M33" s="132"/>
      <c r="N33" s="132"/>
      <c r="O33" s="83" t="s">
        <v>315</v>
      </c>
    </row>
    <row r="34" spans="2:15" s="10" customFormat="1" ht="207" customHeight="1" x14ac:dyDescent="0.3">
      <c r="B34" s="42">
        <v>29</v>
      </c>
      <c r="C34" s="41">
        <f t="shared" si="0"/>
        <v>4</v>
      </c>
      <c r="D34" s="41" t="s">
        <v>14</v>
      </c>
      <c r="E34" s="41" t="s">
        <v>2</v>
      </c>
      <c r="F34" s="132" t="s">
        <v>980</v>
      </c>
      <c r="G34" s="132"/>
      <c r="H34" s="132"/>
      <c r="I34" s="132"/>
      <c r="J34" s="132"/>
      <c r="K34" s="132"/>
      <c r="L34" s="132"/>
      <c r="M34" s="132"/>
      <c r="N34" s="132"/>
      <c r="O34" s="80">
        <v>3</v>
      </c>
    </row>
    <row r="35" spans="2:15" s="10" customFormat="1" ht="207" customHeight="1" x14ac:dyDescent="0.3">
      <c r="B35" s="42">
        <v>44</v>
      </c>
      <c r="C35" s="41">
        <f t="shared" si="0"/>
        <v>2.5</v>
      </c>
      <c r="D35" s="41" t="s">
        <v>14</v>
      </c>
      <c r="E35" s="41" t="s">
        <v>25</v>
      </c>
      <c r="F35" s="132" t="s">
        <v>568</v>
      </c>
      <c r="G35" s="132"/>
      <c r="H35" s="132"/>
      <c r="I35" s="132"/>
      <c r="J35" s="132"/>
      <c r="K35" s="132"/>
      <c r="L35" s="132"/>
      <c r="M35" s="132"/>
      <c r="N35" s="132"/>
      <c r="O35" s="80">
        <v>3</v>
      </c>
    </row>
    <row r="36" spans="2:15" s="10" customFormat="1" ht="207" customHeight="1" x14ac:dyDescent="0.3">
      <c r="B36" s="43">
        <v>45</v>
      </c>
      <c r="C36" s="41">
        <f t="shared" si="0"/>
        <v>2.5</v>
      </c>
      <c r="D36" s="44" t="s">
        <v>14</v>
      </c>
      <c r="E36" s="41" t="s">
        <v>25</v>
      </c>
      <c r="F36" s="134" t="s">
        <v>569</v>
      </c>
      <c r="G36" s="134"/>
      <c r="H36" s="134"/>
      <c r="I36" s="134"/>
      <c r="J36" s="134"/>
      <c r="K36" s="134"/>
      <c r="L36" s="134"/>
      <c r="M36" s="134"/>
      <c r="N36" s="134"/>
      <c r="O36" s="84">
        <v>2</v>
      </c>
    </row>
  </sheetData>
  <mergeCells count="34">
    <mergeCell ref="F32:N32"/>
    <mergeCell ref="F33:N33"/>
    <mergeCell ref="F34:N34"/>
    <mergeCell ref="F36:N36"/>
    <mergeCell ref="F35:N35"/>
    <mergeCell ref="F27:N27"/>
    <mergeCell ref="F28:N28"/>
    <mergeCell ref="F29:N29"/>
    <mergeCell ref="F30:N30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B2:O32"/>
  <sheetViews>
    <sheetView showGridLines="0" topLeftCell="A29" zoomScale="40" zoomScaleNormal="40" zoomScaleSheetLayoutView="55" workbookViewId="0">
      <selection activeCell="F26" sqref="F26:N26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149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0"/>
      <c r="H4" s="60"/>
      <c r="I4" s="60"/>
      <c r="J4" s="60"/>
      <c r="K4" s="60"/>
      <c r="L4" s="60"/>
      <c r="M4" s="60"/>
      <c r="N4" s="60"/>
    </row>
    <row r="5" spans="2:15" ht="49.5" customHeight="1" x14ac:dyDescent="0.3">
      <c r="B5" s="36" t="s">
        <v>0</v>
      </c>
      <c r="C5" s="61" t="s">
        <v>20</v>
      </c>
      <c r="D5" s="61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13</v>
      </c>
      <c r="F6" s="132" t="s">
        <v>557</v>
      </c>
      <c r="G6" s="132"/>
      <c r="H6" s="132"/>
      <c r="I6" s="132"/>
      <c r="J6" s="132"/>
      <c r="K6" s="132"/>
      <c r="L6" s="132"/>
      <c r="M6" s="132"/>
      <c r="N6" s="132"/>
      <c r="O6" s="80">
        <v>3</v>
      </c>
    </row>
    <row r="7" spans="2:15" s="10" customFormat="1" ht="206.25" customHeight="1" x14ac:dyDescent="0.3">
      <c r="B7" s="42">
        <v>2</v>
      </c>
      <c r="C7" s="41">
        <f t="shared" ref="C7:C32" si="0">IF(E7="공통",2.5,IF(E7="객관식",4,IF(E7="주관식",5,"")))</f>
        <v>4</v>
      </c>
      <c r="D7" s="41" t="s">
        <v>14</v>
      </c>
      <c r="E7" s="41" t="s">
        <v>13</v>
      </c>
      <c r="F7" s="132" t="s">
        <v>556</v>
      </c>
      <c r="G7" s="140"/>
      <c r="H7" s="140"/>
      <c r="I7" s="140"/>
      <c r="J7" s="140"/>
      <c r="K7" s="140"/>
      <c r="L7" s="140"/>
      <c r="M7" s="140"/>
      <c r="N7" s="141"/>
      <c r="O7" s="79">
        <v>2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14</v>
      </c>
      <c r="E8" s="41" t="s">
        <v>13</v>
      </c>
      <c r="F8" s="132" t="s">
        <v>555</v>
      </c>
      <c r="G8" s="132"/>
      <c r="H8" s="132"/>
      <c r="I8" s="132"/>
      <c r="J8" s="132"/>
      <c r="K8" s="132"/>
      <c r="L8" s="132"/>
      <c r="M8" s="132"/>
      <c r="N8" s="132"/>
      <c r="O8" s="79">
        <v>3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14</v>
      </c>
      <c r="E9" s="41" t="s">
        <v>13</v>
      </c>
      <c r="F9" s="132" t="s">
        <v>554</v>
      </c>
      <c r="G9" s="132"/>
      <c r="H9" s="132"/>
      <c r="I9" s="132"/>
      <c r="J9" s="132"/>
      <c r="K9" s="132"/>
      <c r="L9" s="132"/>
      <c r="M9" s="132"/>
      <c r="N9" s="132"/>
      <c r="O9" s="79">
        <v>3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13</v>
      </c>
      <c r="F10" s="132" t="s">
        <v>553</v>
      </c>
      <c r="G10" s="132"/>
      <c r="H10" s="132"/>
      <c r="I10" s="132"/>
      <c r="J10" s="132"/>
      <c r="K10" s="132"/>
      <c r="L10" s="132"/>
      <c r="M10" s="132"/>
      <c r="N10" s="132"/>
      <c r="O10" s="79">
        <v>4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14</v>
      </c>
      <c r="E11" s="41" t="s">
        <v>13</v>
      </c>
      <c r="F11" s="132" t="s">
        <v>558</v>
      </c>
      <c r="G11" s="132"/>
      <c r="H11" s="132"/>
      <c r="I11" s="132"/>
      <c r="J11" s="132"/>
      <c r="K11" s="132"/>
      <c r="L11" s="132"/>
      <c r="M11" s="132"/>
      <c r="N11" s="132"/>
      <c r="O11" s="79">
        <v>2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13</v>
      </c>
      <c r="F12" s="132" t="s">
        <v>559</v>
      </c>
      <c r="G12" s="132"/>
      <c r="H12" s="132"/>
      <c r="I12" s="132"/>
      <c r="J12" s="132"/>
      <c r="K12" s="132"/>
      <c r="L12" s="132"/>
      <c r="M12" s="132"/>
      <c r="N12" s="132"/>
      <c r="O12" s="80">
        <v>2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13</v>
      </c>
      <c r="F13" s="132" t="s">
        <v>560</v>
      </c>
      <c r="G13" s="132"/>
      <c r="H13" s="132"/>
      <c r="I13" s="132"/>
      <c r="J13" s="132"/>
      <c r="K13" s="132"/>
      <c r="L13" s="132"/>
      <c r="M13" s="132"/>
      <c r="N13" s="132"/>
      <c r="O13" s="79">
        <v>3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2</v>
      </c>
      <c r="F14" s="132" t="s">
        <v>106</v>
      </c>
      <c r="G14" s="132"/>
      <c r="H14" s="132"/>
      <c r="I14" s="132"/>
      <c r="J14" s="132"/>
      <c r="K14" s="132"/>
      <c r="L14" s="132"/>
      <c r="M14" s="132"/>
      <c r="N14" s="132"/>
      <c r="O14" s="79">
        <v>2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13</v>
      </c>
      <c r="F15" s="132" t="s">
        <v>107</v>
      </c>
      <c r="G15" s="132"/>
      <c r="H15" s="132"/>
      <c r="I15" s="132"/>
      <c r="J15" s="132"/>
      <c r="K15" s="132"/>
      <c r="L15" s="132"/>
      <c r="M15" s="132"/>
      <c r="N15" s="132"/>
      <c r="O15" s="79">
        <v>2</v>
      </c>
    </row>
    <row r="16" spans="2:15" s="10" customFormat="1" ht="29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13</v>
      </c>
      <c r="F16" s="132" t="s">
        <v>981</v>
      </c>
      <c r="G16" s="132"/>
      <c r="H16" s="132"/>
      <c r="I16" s="132"/>
      <c r="J16" s="132"/>
      <c r="K16" s="132"/>
      <c r="L16" s="132"/>
      <c r="M16" s="132"/>
      <c r="N16" s="132"/>
      <c r="O16" s="80">
        <v>3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13</v>
      </c>
      <c r="F17" s="135" t="s">
        <v>561</v>
      </c>
      <c r="G17" s="132"/>
      <c r="H17" s="132"/>
      <c r="I17" s="132"/>
      <c r="J17" s="132"/>
      <c r="K17" s="132"/>
      <c r="L17" s="132"/>
      <c r="M17" s="132"/>
      <c r="N17" s="132"/>
      <c r="O17" s="79">
        <v>1</v>
      </c>
    </row>
    <row r="18" spans="2:15" s="10" customFormat="1" ht="310.5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13</v>
      </c>
      <c r="F18" s="132" t="s">
        <v>928</v>
      </c>
      <c r="G18" s="132"/>
      <c r="H18" s="132"/>
      <c r="I18" s="132"/>
      <c r="J18" s="132"/>
      <c r="K18" s="132"/>
      <c r="L18" s="132"/>
      <c r="M18" s="132"/>
      <c r="N18" s="132"/>
      <c r="O18" s="79">
        <v>2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2</v>
      </c>
      <c r="F19" s="132" t="s">
        <v>562</v>
      </c>
      <c r="G19" s="132"/>
      <c r="H19" s="132"/>
      <c r="I19" s="132"/>
      <c r="J19" s="132"/>
      <c r="K19" s="132"/>
      <c r="L19" s="132"/>
      <c r="M19" s="132"/>
      <c r="N19" s="132"/>
      <c r="O19" s="79">
        <v>4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13</v>
      </c>
      <c r="F20" s="132" t="s">
        <v>563</v>
      </c>
      <c r="G20" s="132"/>
      <c r="H20" s="132"/>
      <c r="I20" s="132"/>
      <c r="J20" s="132"/>
      <c r="K20" s="132"/>
      <c r="L20" s="132"/>
      <c r="M20" s="132"/>
      <c r="N20" s="132"/>
      <c r="O20" s="79">
        <v>3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13</v>
      </c>
      <c r="F21" s="132" t="s">
        <v>564</v>
      </c>
      <c r="G21" s="132"/>
      <c r="H21" s="132"/>
      <c r="I21" s="132"/>
      <c r="J21" s="132"/>
      <c r="K21" s="132"/>
      <c r="L21" s="132"/>
      <c r="M21" s="132"/>
      <c r="N21" s="132"/>
      <c r="O21" s="79">
        <v>4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13</v>
      </c>
      <c r="F22" s="132" t="s">
        <v>565</v>
      </c>
      <c r="G22" s="132"/>
      <c r="H22" s="132"/>
      <c r="I22" s="132"/>
      <c r="J22" s="132"/>
      <c r="K22" s="132"/>
      <c r="L22" s="132"/>
      <c r="M22" s="132"/>
      <c r="N22" s="132"/>
      <c r="O22" s="80">
        <v>3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14</v>
      </c>
      <c r="E23" s="41" t="s">
        <v>13</v>
      </c>
      <c r="F23" s="132" t="s">
        <v>409</v>
      </c>
      <c r="G23" s="132"/>
      <c r="H23" s="132"/>
      <c r="I23" s="132"/>
      <c r="J23" s="132"/>
      <c r="K23" s="132"/>
      <c r="L23" s="132"/>
      <c r="M23" s="132"/>
      <c r="N23" s="132"/>
      <c r="O23" s="80">
        <v>2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14</v>
      </c>
      <c r="E24" s="41" t="s">
        <v>13</v>
      </c>
      <c r="F24" s="132" t="s">
        <v>566</v>
      </c>
      <c r="G24" s="132"/>
      <c r="H24" s="132"/>
      <c r="I24" s="132"/>
      <c r="J24" s="132"/>
      <c r="K24" s="132"/>
      <c r="L24" s="132"/>
      <c r="M24" s="132"/>
      <c r="N24" s="132"/>
      <c r="O24" s="79">
        <v>4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14</v>
      </c>
      <c r="E25" s="41" t="s">
        <v>13</v>
      </c>
      <c r="F25" s="132" t="s">
        <v>567</v>
      </c>
      <c r="G25" s="132"/>
      <c r="H25" s="132"/>
      <c r="I25" s="132"/>
      <c r="J25" s="132"/>
      <c r="K25" s="132"/>
      <c r="L25" s="132"/>
      <c r="M25" s="132"/>
      <c r="N25" s="132"/>
      <c r="O25" s="96">
        <v>2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14</v>
      </c>
      <c r="E26" s="41" t="s">
        <v>3</v>
      </c>
      <c r="F26" s="132" t="s">
        <v>982</v>
      </c>
      <c r="G26" s="133"/>
      <c r="H26" s="133"/>
      <c r="I26" s="133"/>
      <c r="J26" s="133"/>
      <c r="K26" s="133"/>
      <c r="L26" s="133"/>
      <c r="M26" s="133"/>
      <c r="N26" s="133"/>
      <c r="O26" s="79" t="s">
        <v>109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14</v>
      </c>
      <c r="E27" s="41" t="s">
        <v>108</v>
      </c>
      <c r="F27" s="135" t="s">
        <v>110</v>
      </c>
      <c r="G27" s="132"/>
      <c r="H27" s="132"/>
      <c r="I27" s="132"/>
      <c r="J27" s="132"/>
      <c r="K27" s="132"/>
      <c r="L27" s="132"/>
      <c r="M27" s="132"/>
      <c r="N27" s="132"/>
      <c r="O27" s="80" t="s">
        <v>111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14</v>
      </c>
      <c r="E28" s="41" t="s">
        <v>16</v>
      </c>
      <c r="F28" s="135" t="s">
        <v>112</v>
      </c>
      <c r="G28" s="132"/>
      <c r="H28" s="132"/>
      <c r="I28" s="132"/>
      <c r="J28" s="132"/>
      <c r="K28" s="132"/>
      <c r="L28" s="132"/>
      <c r="M28" s="132"/>
      <c r="N28" s="132"/>
      <c r="O28" s="79" t="s">
        <v>113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14</v>
      </c>
      <c r="E29" s="41" t="s">
        <v>16</v>
      </c>
      <c r="F29" s="132" t="s">
        <v>114</v>
      </c>
      <c r="G29" s="132"/>
      <c r="H29" s="132"/>
      <c r="I29" s="132"/>
      <c r="J29" s="132"/>
      <c r="K29" s="132"/>
      <c r="L29" s="132"/>
      <c r="M29" s="132"/>
      <c r="N29" s="132"/>
      <c r="O29" s="79" t="s">
        <v>115</v>
      </c>
    </row>
    <row r="30" spans="2:15" s="10" customFormat="1" ht="207" customHeight="1" x14ac:dyDescent="0.3">
      <c r="B30" s="42">
        <v>25</v>
      </c>
      <c r="C30" s="41">
        <f t="shared" si="0"/>
        <v>2.5</v>
      </c>
      <c r="D30" s="41" t="s">
        <v>14</v>
      </c>
      <c r="E30" s="41" t="s">
        <v>25</v>
      </c>
      <c r="F30" s="132" t="s">
        <v>941</v>
      </c>
      <c r="G30" s="132"/>
      <c r="H30" s="132"/>
      <c r="I30" s="132"/>
      <c r="J30" s="132"/>
      <c r="K30" s="132"/>
      <c r="L30" s="132"/>
      <c r="M30" s="132"/>
      <c r="N30" s="132"/>
      <c r="O30" s="79" t="s">
        <v>18</v>
      </c>
    </row>
    <row r="31" spans="2:15" s="10" customFormat="1" ht="207" customHeight="1" x14ac:dyDescent="0.3">
      <c r="B31" s="42">
        <v>44</v>
      </c>
      <c r="C31" s="41">
        <f t="shared" si="0"/>
        <v>2.5</v>
      </c>
      <c r="D31" s="41" t="s">
        <v>14</v>
      </c>
      <c r="E31" s="41" t="s">
        <v>25</v>
      </c>
      <c r="F31" s="132" t="s">
        <v>568</v>
      </c>
      <c r="G31" s="132"/>
      <c r="H31" s="132"/>
      <c r="I31" s="132"/>
      <c r="J31" s="132"/>
      <c r="K31" s="132"/>
      <c r="L31" s="132"/>
      <c r="M31" s="132"/>
      <c r="N31" s="132"/>
      <c r="O31" s="80">
        <v>3</v>
      </c>
    </row>
    <row r="32" spans="2:15" s="10" customFormat="1" ht="207" customHeight="1" x14ac:dyDescent="0.3">
      <c r="B32" s="42">
        <v>45</v>
      </c>
      <c r="C32" s="41">
        <f t="shared" si="0"/>
        <v>2.5</v>
      </c>
      <c r="D32" s="41" t="s">
        <v>14</v>
      </c>
      <c r="E32" s="41" t="s">
        <v>25</v>
      </c>
      <c r="F32" s="132" t="s">
        <v>569</v>
      </c>
      <c r="G32" s="132"/>
      <c r="H32" s="132"/>
      <c r="I32" s="132"/>
      <c r="J32" s="132"/>
      <c r="K32" s="132"/>
      <c r="L32" s="132"/>
      <c r="M32" s="132"/>
      <c r="N32" s="132"/>
      <c r="O32" s="80">
        <v>2</v>
      </c>
    </row>
  </sheetData>
  <mergeCells count="30">
    <mergeCell ref="F27:N27"/>
    <mergeCell ref="F28:N28"/>
    <mergeCell ref="F29:N29"/>
    <mergeCell ref="F30:N30"/>
    <mergeCell ref="F32:N32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9"/>
  <dimension ref="B2:O35"/>
  <sheetViews>
    <sheetView showGridLines="0" topLeftCell="A31" zoomScale="40" zoomScaleNormal="40" zoomScaleSheetLayoutView="55" workbookViewId="0">
      <selection activeCell="F29" sqref="F29:N29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150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0"/>
      <c r="H4" s="60"/>
      <c r="I4" s="60"/>
      <c r="J4" s="60"/>
      <c r="K4" s="60"/>
      <c r="L4" s="60"/>
      <c r="M4" s="60"/>
      <c r="N4" s="60"/>
    </row>
    <row r="5" spans="2:15" ht="49.5" customHeight="1" x14ac:dyDescent="0.3">
      <c r="B5" s="36" t="s">
        <v>0</v>
      </c>
      <c r="C5" s="61" t="s">
        <v>20</v>
      </c>
      <c r="D5" s="61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13</v>
      </c>
      <c r="F6" s="132" t="s">
        <v>570</v>
      </c>
      <c r="G6" s="132"/>
      <c r="H6" s="132"/>
      <c r="I6" s="132"/>
      <c r="J6" s="132"/>
      <c r="K6" s="132"/>
      <c r="L6" s="132"/>
      <c r="M6" s="132"/>
      <c r="N6" s="132"/>
      <c r="O6" s="80">
        <v>1</v>
      </c>
    </row>
    <row r="7" spans="2:15" s="10" customFormat="1" ht="206.25" customHeight="1" x14ac:dyDescent="0.3">
      <c r="B7" s="42">
        <v>2</v>
      </c>
      <c r="C7" s="41">
        <f t="shared" ref="C7:C35" si="0">IF(E7="공통",2.5,IF(E7="객관식",4,IF(E7="주관식",5,"")))</f>
        <v>4</v>
      </c>
      <c r="D7" s="41" t="s">
        <v>14</v>
      </c>
      <c r="E7" s="41" t="s">
        <v>13</v>
      </c>
      <c r="F7" s="132" t="s">
        <v>571</v>
      </c>
      <c r="G7" s="140"/>
      <c r="H7" s="140"/>
      <c r="I7" s="140"/>
      <c r="J7" s="140"/>
      <c r="K7" s="140"/>
      <c r="L7" s="140"/>
      <c r="M7" s="140"/>
      <c r="N7" s="141"/>
      <c r="O7" s="79">
        <v>2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14</v>
      </c>
      <c r="E8" s="41" t="s">
        <v>13</v>
      </c>
      <c r="F8" s="132" t="s">
        <v>572</v>
      </c>
      <c r="G8" s="132"/>
      <c r="H8" s="132"/>
      <c r="I8" s="132"/>
      <c r="J8" s="132"/>
      <c r="K8" s="132"/>
      <c r="L8" s="132"/>
      <c r="M8" s="132"/>
      <c r="N8" s="132"/>
      <c r="O8" s="79">
        <v>4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14</v>
      </c>
      <c r="E9" s="41" t="s">
        <v>13</v>
      </c>
      <c r="F9" s="132" t="s">
        <v>573</v>
      </c>
      <c r="G9" s="132"/>
      <c r="H9" s="132"/>
      <c r="I9" s="132"/>
      <c r="J9" s="132"/>
      <c r="K9" s="132"/>
      <c r="L9" s="132"/>
      <c r="M9" s="132"/>
      <c r="N9" s="132"/>
      <c r="O9" s="79">
        <v>1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13</v>
      </c>
      <c r="F10" s="132" t="s">
        <v>574</v>
      </c>
      <c r="G10" s="132"/>
      <c r="H10" s="132"/>
      <c r="I10" s="132"/>
      <c r="J10" s="132"/>
      <c r="K10" s="132"/>
      <c r="L10" s="132"/>
      <c r="M10" s="132"/>
      <c r="N10" s="132"/>
      <c r="O10" s="79">
        <v>2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14</v>
      </c>
      <c r="E11" s="41" t="s">
        <v>13</v>
      </c>
      <c r="F11" s="132" t="s">
        <v>575</v>
      </c>
      <c r="G11" s="132"/>
      <c r="H11" s="132"/>
      <c r="I11" s="132"/>
      <c r="J11" s="132"/>
      <c r="K11" s="132"/>
      <c r="L11" s="132"/>
      <c r="M11" s="132"/>
      <c r="N11" s="132"/>
      <c r="O11" s="79">
        <v>4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13</v>
      </c>
      <c r="F12" s="132" t="s">
        <v>576</v>
      </c>
      <c r="G12" s="132"/>
      <c r="H12" s="132"/>
      <c r="I12" s="132"/>
      <c r="J12" s="132"/>
      <c r="K12" s="132"/>
      <c r="L12" s="132"/>
      <c r="M12" s="132"/>
      <c r="N12" s="132"/>
      <c r="O12" s="80">
        <v>4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13</v>
      </c>
      <c r="F13" s="132" t="s">
        <v>577</v>
      </c>
      <c r="G13" s="132"/>
      <c r="H13" s="132"/>
      <c r="I13" s="132"/>
      <c r="J13" s="132"/>
      <c r="K13" s="132"/>
      <c r="L13" s="132"/>
      <c r="M13" s="132"/>
      <c r="N13" s="132"/>
      <c r="O13" s="79">
        <v>4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2</v>
      </c>
      <c r="F14" s="132" t="s">
        <v>578</v>
      </c>
      <c r="G14" s="132"/>
      <c r="H14" s="132"/>
      <c r="I14" s="132"/>
      <c r="J14" s="132"/>
      <c r="K14" s="132"/>
      <c r="L14" s="132"/>
      <c r="M14" s="132"/>
      <c r="N14" s="132"/>
      <c r="O14" s="79">
        <v>4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13</v>
      </c>
      <c r="F15" s="132" t="s">
        <v>579</v>
      </c>
      <c r="G15" s="132"/>
      <c r="H15" s="132"/>
      <c r="I15" s="132"/>
      <c r="J15" s="132"/>
      <c r="K15" s="132"/>
      <c r="L15" s="132"/>
      <c r="M15" s="132"/>
      <c r="N15" s="132"/>
      <c r="O15" s="79">
        <v>1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13</v>
      </c>
      <c r="F16" s="132" t="s">
        <v>580</v>
      </c>
      <c r="G16" s="132"/>
      <c r="H16" s="132"/>
      <c r="I16" s="132"/>
      <c r="J16" s="132"/>
      <c r="K16" s="132"/>
      <c r="L16" s="132"/>
      <c r="M16" s="132"/>
      <c r="N16" s="132"/>
      <c r="O16" s="80">
        <v>2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13</v>
      </c>
      <c r="F17" s="135" t="s">
        <v>581</v>
      </c>
      <c r="G17" s="132"/>
      <c r="H17" s="132"/>
      <c r="I17" s="132"/>
      <c r="J17" s="132"/>
      <c r="K17" s="132"/>
      <c r="L17" s="132"/>
      <c r="M17" s="132"/>
      <c r="N17" s="132"/>
      <c r="O17" s="79">
        <v>4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13</v>
      </c>
      <c r="F18" s="132" t="s">
        <v>582</v>
      </c>
      <c r="G18" s="132"/>
      <c r="H18" s="132"/>
      <c r="I18" s="132"/>
      <c r="J18" s="132"/>
      <c r="K18" s="132"/>
      <c r="L18" s="132"/>
      <c r="M18" s="132"/>
      <c r="N18" s="132"/>
      <c r="O18" s="79">
        <v>4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2</v>
      </c>
      <c r="F19" s="132" t="s">
        <v>583</v>
      </c>
      <c r="G19" s="132"/>
      <c r="H19" s="132"/>
      <c r="I19" s="132"/>
      <c r="J19" s="132"/>
      <c r="K19" s="132"/>
      <c r="L19" s="132"/>
      <c r="M19" s="132"/>
      <c r="N19" s="132"/>
      <c r="O19" s="79">
        <v>4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13</v>
      </c>
      <c r="F20" s="132" t="s">
        <v>584</v>
      </c>
      <c r="G20" s="132"/>
      <c r="H20" s="132"/>
      <c r="I20" s="132"/>
      <c r="J20" s="132"/>
      <c r="K20" s="132"/>
      <c r="L20" s="132"/>
      <c r="M20" s="132"/>
      <c r="N20" s="132"/>
      <c r="O20" s="79">
        <v>4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13</v>
      </c>
      <c r="F21" s="132" t="s">
        <v>585</v>
      </c>
      <c r="G21" s="132"/>
      <c r="H21" s="132"/>
      <c r="I21" s="132"/>
      <c r="J21" s="132"/>
      <c r="K21" s="132"/>
      <c r="L21" s="132"/>
      <c r="M21" s="132"/>
      <c r="N21" s="132"/>
      <c r="O21" s="79">
        <v>2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13</v>
      </c>
      <c r="F22" s="132" t="s">
        <v>586</v>
      </c>
      <c r="G22" s="132"/>
      <c r="H22" s="132"/>
      <c r="I22" s="132"/>
      <c r="J22" s="132"/>
      <c r="K22" s="132"/>
      <c r="L22" s="132"/>
      <c r="M22" s="132"/>
      <c r="N22" s="132"/>
      <c r="O22" s="80">
        <v>2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14</v>
      </c>
      <c r="E23" s="41" t="s">
        <v>13</v>
      </c>
      <c r="F23" s="132" t="s">
        <v>587</v>
      </c>
      <c r="G23" s="132"/>
      <c r="H23" s="132"/>
      <c r="I23" s="132"/>
      <c r="J23" s="132"/>
      <c r="K23" s="132"/>
      <c r="L23" s="132"/>
      <c r="M23" s="132"/>
      <c r="N23" s="132"/>
      <c r="O23" s="80">
        <v>4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14</v>
      </c>
      <c r="E24" s="41" t="s">
        <v>13</v>
      </c>
      <c r="F24" s="132" t="s">
        <v>588</v>
      </c>
      <c r="G24" s="132"/>
      <c r="H24" s="132"/>
      <c r="I24" s="132"/>
      <c r="J24" s="132"/>
      <c r="K24" s="132"/>
      <c r="L24" s="132"/>
      <c r="M24" s="132"/>
      <c r="N24" s="132"/>
      <c r="O24" s="79">
        <v>4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14</v>
      </c>
      <c r="E25" s="41" t="s">
        <v>13</v>
      </c>
      <c r="F25" s="132" t="s">
        <v>589</v>
      </c>
      <c r="G25" s="132"/>
      <c r="H25" s="132"/>
      <c r="I25" s="132"/>
      <c r="J25" s="132"/>
      <c r="K25" s="132"/>
      <c r="L25" s="132"/>
      <c r="M25" s="132"/>
      <c r="N25" s="132"/>
      <c r="O25" s="96">
        <v>2</v>
      </c>
    </row>
    <row r="26" spans="2:15" s="10" customFormat="1" ht="207" customHeight="1" x14ac:dyDescent="0.3">
      <c r="B26" s="42">
        <v>21</v>
      </c>
      <c r="C26" s="41">
        <f t="shared" si="0"/>
        <v>4</v>
      </c>
      <c r="D26" s="41" t="s">
        <v>14</v>
      </c>
      <c r="E26" s="41" t="s">
        <v>13</v>
      </c>
      <c r="F26" s="132" t="s">
        <v>126</v>
      </c>
      <c r="G26" s="133"/>
      <c r="H26" s="133"/>
      <c r="I26" s="133"/>
      <c r="J26" s="133"/>
      <c r="K26" s="133"/>
      <c r="L26" s="133"/>
      <c r="M26" s="133"/>
      <c r="N26" s="133"/>
      <c r="O26" s="80" t="s">
        <v>127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14</v>
      </c>
      <c r="E27" s="41" t="s">
        <v>108</v>
      </c>
      <c r="F27" s="135" t="s">
        <v>128</v>
      </c>
      <c r="G27" s="132"/>
      <c r="H27" s="132"/>
      <c r="I27" s="132"/>
      <c r="J27" s="132"/>
      <c r="K27" s="132"/>
      <c r="L27" s="132"/>
      <c r="M27" s="132"/>
      <c r="N27" s="132"/>
      <c r="O27" s="80" t="s">
        <v>129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14</v>
      </c>
      <c r="E28" s="41" t="s">
        <v>16</v>
      </c>
      <c r="F28" s="135" t="s">
        <v>942</v>
      </c>
      <c r="G28" s="132"/>
      <c r="H28" s="132"/>
      <c r="I28" s="132"/>
      <c r="J28" s="132"/>
      <c r="K28" s="132"/>
      <c r="L28" s="132"/>
      <c r="M28" s="132"/>
      <c r="N28" s="132"/>
      <c r="O28" s="79">
        <v>3.38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14</v>
      </c>
      <c r="E29" s="41" t="s">
        <v>16</v>
      </c>
      <c r="F29" s="132" t="s">
        <v>130</v>
      </c>
      <c r="G29" s="132"/>
      <c r="H29" s="132"/>
      <c r="I29" s="132"/>
      <c r="J29" s="132"/>
      <c r="K29" s="132"/>
      <c r="L29" s="132"/>
      <c r="M29" s="132"/>
      <c r="N29" s="132"/>
      <c r="O29" s="79" t="s">
        <v>131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14</v>
      </c>
      <c r="E30" s="41" t="s">
        <v>16</v>
      </c>
      <c r="F30" s="132" t="s">
        <v>301</v>
      </c>
      <c r="G30" s="132"/>
      <c r="H30" s="132"/>
      <c r="I30" s="132"/>
      <c r="J30" s="132"/>
      <c r="K30" s="132"/>
      <c r="L30" s="132"/>
      <c r="M30" s="132"/>
      <c r="N30" s="132"/>
      <c r="O30" s="101" t="s">
        <v>132</v>
      </c>
    </row>
    <row r="31" spans="2:15" s="10" customFormat="1" ht="207" customHeight="1" x14ac:dyDescent="0.3">
      <c r="B31" s="42">
        <v>26</v>
      </c>
      <c r="C31" s="41">
        <f t="shared" si="0"/>
        <v>5</v>
      </c>
      <c r="D31" s="41" t="s">
        <v>14</v>
      </c>
      <c r="E31" s="41" t="s">
        <v>16</v>
      </c>
      <c r="F31" s="132" t="s">
        <v>297</v>
      </c>
      <c r="G31" s="132"/>
      <c r="H31" s="132"/>
      <c r="I31" s="132"/>
      <c r="J31" s="132"/>
      <c r="K31" s="132"/>
      <c r="L31" s="132"/>
      <c r="M31" s="132"/>
      <c r="N31" s="132"/>
      <c r="O31" s="101" t="s">
        <v>298</v>
      </c>
    </row>
    <row r="32" spans="2:15" s="10" customFormat="1" ht="207" customHeight="1" x14ac:dyDescent="0.3">
      <c r="B32" s="42">
        <v>27</v>
      </c>
      <c r="C32" s="41">
        <f t="shared" si="0"/>
        <v>2.5</v>
      </c>
      <c r="D32" s="41" t="s">
        <v>14</v>
      </c>
      <c r="E32" s="41" t="s">
        <v>25</v>
      </c>
      <c r="F32" s="132" t="s">
        <v>299</v>
      </c>
      <c r="G32" s="132"/>
      <c r="H32" s="132"/>
      <c r="I32" s="132"/>
      <c r="J32" s="132"/>
      <c r="K32" s="132"/>
      <c r="L32" s="132"/>
      <c r="M32" s="132"/>
      <c r="N32" s="132"/>
      <c r="O32" s="80" t="s">
        <v>300</v>
      </c>
    </row>
    <row r="33" spans="2:15" s="10" customFormat="1" ht="207" customHeight="1" x14ac:dyDescent="0.3">
      <c r="B33" s="42">
        <v>28</v>
      </c>
      <c r="C33" s="41">
        <f t="shared" si="0"/>
        <v>4</v>
      </c>
      <c r="D33" s="41" t="s">
        <v>14</v>
      </c>
      <c r="E33" s="41" t="s">
        <v>2</v>
      </c>
      <c r="F33" s="132" t="s">
        <v>590</v>
      </c>
      <c r="G33" s="132"/>
      <c r="H33" s="132"/>
      <c r="I33" s="132"/>
      <c r="J33" s="132"/>
      <c r="K33" s="132"/>
      <c r="L33" s="132"/>
      <c r="M33" s="132"/>
      <c r="N33" s="132"/>
      <c r="O33" s="83">
        <v>1</v>
      </c>
    </row>
    <row r="34" spans="2:15" s="10" customFormat="1" ht="207" customHeight="1" x14ac:dyDescent="0.3">
      <c r="B34" s="42">
        <v>44</v>
      </c>
      <c r="C34" s="41">
        <f t="shared" si="0"/>
        <v>2.5</v>
      </c>
      <c r="D34" s="41" t="s">
        <v>14</v>
      </c>
      <c r="E34" s="41" t="s">
        <v>25</v>
      </c>
      <c r="F34" s="132" t="s">
        <v>591</v>
      </c>
      <c r="G34" s="132"/>
      <c r="H34" s="132"/>
      <c r="I34" s="132"/>
      <c r="J34" s="132"/>
      <c r="K34" s="132"/>
      <c r="L34" s="132"/>
      <c r="M34" s="132"/>
      <c r="N34" s="132"/>
      <c r="O34" s="80">
        <v>3</v>
      </c>
    </row>
    <row r="35" spans="2:15" s="10" customFormat="1" ht="207" customHeight="1" x14ac:dyDescent="0.3">
      <c r="B35" s="42">
        <v>45</v>
      </c>
      <c r="C35" s="41">
        <f t="shared" si="0"/>
        <v>2.5</v>
      </c>
      <c r="D35" s="41" t="s">
        <v>14</v>
      </c>
      <c r="E35" s="41" t="s">
        <v>25</v>
      </c>
      <c r="F35" s="132" t="s">
        <v>592</v>
      </c>
      <c r="G35" s="132"/>
      <c r="H35" s="132"/>
      <c r="I35" s="132"/>
      <c r="J35" s="132"/>
      <c r="K35" s="132"/>
      <c r="L35" s="132"/>
      <c r="M35" s="132"/>
      <c r="N35" s="132"/>
      <c r="O35" s="80">
        <v>3</v>
      </c>
    </row>
  </sheetData>
  <mergeCells count="33">
    <mergeCell ref="F32:N32"/>
    <mergeCell ref="F33:N33"/>
    <mergeCell ref="F35:N35"/>
    <mergeCell ref="F34:N34"/>
    <mergeCell ref="F27:N27"/>
    <mergeCell ref="F28:N28"/>
    <mergeCell ref="F29:N29"/>
    <mergeCell ref="F30:N30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0"/>
  <dimension ref="B2:O32"/>
  <sheetViews>
    <sheetView showGridLines="0" topLeftCell="A27" zoomScale="40" zoomScaleNormal="40" zoomScaleSheetLayoutView="55" workbookViewId="0">
      <selection activeCell="F26" sqref="F26:N26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151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0"/>
      <c r="H4" s="60"/>
      <c r="I4" s="60"/>
      <c r="J4" s="60"/>
      <c r="K4" s="60"/>
      <c r="L4" s="60"/>
      <c r="M4" s="60"/>
      <c r="N4" s="60"/>
    </row>
    <row r="5" spans="2:15" ht="49.5" customHeight="1" x14ac:dyDescent="0.3">
      <c r="B5" s="36" t="s">
        <v>0</v>
      </c>
      <c r="C5" s="61" t="s">
        <v>20</v>
      </c>
      <c r="D5" s="61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52</v>
      </c>
      <c r="E6" s="41" t="s">
        <v>13</v>
      </c>
      <c r="F6" s="132" t="s">
        <v>409</v>
      </c>
      <c r="G6" s="132"/>
      <c r="H6" s="132"/>
      <c r="I6" s="132"/>
      <c r="J6" s="132"/>
      <c r="K6" s="132"/>
      <c r="L6" s="132"/>
      <c r="M6" s="132"/>
      <c r="N6" s="132"/>
      <c r="O6" s="80">
        <v>2</v>
      </c>
    </row>
    <row r="7" spans="2:15" s="10" customFormat="1" ht="206.25" customHeight="1" x14ac:dyDescent="0.3">
      <c r="B7" s="42">
        <v>2</v>
      </c>
      <c r="C7" s="41">
        <f t="shared" ref="C7:C32" si="0">IF(E7="공통",2.5,IF(E7="객관식",4,IF(E7="주관식",5,"")))</f>
        <v>4</v>
      </c>
      <c r="D7" s="41" t="s">
        <v>52</v>
      </c>
      <c r="E7" s="41" t="s">
        <v>13</v>
      </c>
      <c r="F7" s="132" t="s">
        <v>593</v>
      </c>
      <c r="G7" s="140"/>
      <c r="H7" s="140"/>
      <c r="I7" s="140"/>
      <c r="J7" s="140"/>
      <c r="K7" s="140"/>
      <c r="L7" s="140"/>
      <c r="M7" s="140"/>
      <c r="N7" s="141"/>
      <c r="O7" s="80">
        <v>3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52</v>
      </c>
      <c r="E8" s="41" t="s">
        <v>13</v>
      </c>
      <c r="F8" s="132" t="s">
        <v>594</v>
      </c>
      <c r="G8" s="132"/>
      <c r="H8" s="132"/>
      <c r="I8" s="132"/>
      <c r="J8" s="132"/>
      <c r="K8" s="132"/>
      <c r="L8" s="132"/>
      <c r="M8" s="132"/>
      <c r="N8" s="132"/>
      <c r="O8" s="80">
        <v>3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52</v>
      </c>
      <c r="E9" s="41" t="s">
        <v>13</v>
      </c>
      <c r="F9" s="132" t="s">
        <v>595</v>
      </c>
      <c r="G9" s="132"/>
      <c r="H9" s="132"/>
      <c r="I9" s="132"/>
      <c r="J9" s="132"/>
      <c r="K9" s="132"/>
      <c r="L9" s="132"/>
      <c r="M9" s="132"/>
      <c r="N9" s="132"/>
      <c r="O9" s="79">
        <v>4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52</v>
      </c>
      <c r="E10" s="41" t="s">
        <v>13</v>
      </c>
      <c r="F10" s="132" t="s">
        <v>596</v>
      </c>
      <c r="G10" s="132"/>
      <c r="H10" s="132"/>
      <c r="I10" s="132"/>
      <c r="J10" s="132"/>
      <c r="K10" s="132"/>
      <c r="L10" s="132"/>
      <c r="M10" s="132"/>
      <c r="N10" s="132"/>
      <c r="O10" s="79">
        <v>4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52</v>
      </c>
      <c r="E11" s="41" t="s">
        <v>13</v>
      </c>
      <c r="F11" s="132" t="s">
        <v>597</v>
      </c>
      <c r="G11" s="132"/>
      <c r="H11" s="132"/>
      <c r="I11" s="132"/>
      <c r="J11" s="132"/>
      <c r="K11" s="132"/>
      <c r="L11" s="132"/>
      <c r="M11" s="132"/>
      <c r="N11" s="132"/>
      <c r="O11" s="79">
        <v>2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52</v>
      </c>
      <c r="E12" s="41" t="s">
        <v>13</v>
      </c>
      <c r="F12" s="132" t="s">
        <v>598</v>
      </c>
      <c r="G12" s="132"/>
      <c r="H12" s="132"/>
      <c r="I12" s="132"/>
      <c r="J12" s="132"/>
      <c r="K12" s="132"/>
      <c r="L12" s="132"/>
      <c r="M12" s="132"/>
      <c r="N12" s="132"/>
      <c r="O12" s="80">
        <v>4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52</v>
      </c>
      <c r="E13" s="41" t="s">
        <v>13</v>
      </c>
      <c r="F13" s="132" t="s">
        <v>599</v>
      </c>
      <c r="G13" s="132"/>
      <c r="H13" s="132"/>
      <c r="I13" s="132"/>
      <c r="J13" s="132"/>
      <c r="K13" s="132"/>
      <c r="L13" s="132"/>
      <c r="M13" s="132"/>
      <c r="N13" s="132"/>
      <c r="O13" s="79">
        <v>4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52</v>
      </c>
      <c r="E14" s="41" t="s">
        <v>2</v>
      </c>
      <c r="F14" s="132" t="s">
        <v>579</v>
      </c>
      <c r="G14" s="132"/>
      <c r="H14" s="132"/>
      <c r="I14" s="132"/>
      <c r="J14" s="132"/>
      <c r="K14" s="132"/>
      <c r="L14" s="132"/>
      <c r="M14" s="132"/>
      <c r="N14" s="132"/>
      <c r="O14" s="79">
        <v>1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52</v>
      </c>
      <c r="E15" s="41" t="s">
        <v>13</v>
      </c>
      <c r="F15" s="132" t="s">
        <v>600</v>
      </c>
      <c r="G15" s="132"/>
      <c r="H15" s="132"/>
      <c r="I15" s="132"/>
      <c r="J15" s="132"/>
      <c r="K15" s="132"/>
      <c r="L15" s="132"/>
      <c r="M15" s="132"/>
      <c r="N15" s="132"/>
      <c r="O15" s="79">
        <v>1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52</v>
      </c>
      <c r="E16" s="41" t="s">
        <v>13</v>
      </c>
      <c r="F16" s="132" t="s">
        <v>601</v>
      </c>
      <c r="G16" s="132"/>
      <c r="H16" s="132"/>
      <c r="I16" s="132"/>
      <c r="J16" s="132"/>
      <c r="K16" s="132"/>
      <c r="L16" s="132"/>
      <c r="M16" s="132"/>
      <c r="N16" s="132"/>
      <c r="O16" s="80">
        <v>1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52</v>
      </c>
      <c r="E17" s="41" t="s">
        <v>13</v>
      </c>
      <c r="F17" s="135" t="s">
        <v>582</v>
      </c>
      <c r="G17" s="132"/>
      <c r="H17" s="132"/>
      <c r="I17" s="132"/>
      <c r="J17" s="132"/>
      <c r="K17" s="132"/>
      <c r="L17" s="132"/>
      <c r="M17" s="132"/>
      <c r="N17" s="132"/>
      <c r="O17" s="79">
        <v>4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52</v>
      </c>
      <c r="E18" s="41" t="s">
        <v>13</v>
      </c>
      <c r="F18" s="132" t="s">
        <v>583</v>
      </c>
      <c r="G18" s="132"/>
      <c r="H18" s="132"/>
      <c r="I18" s="132"/>
      <c r="J18" s="132"/>
      <c r="K18" s="132"/>
      <c r="L18" s="132"/>
      <c r="M18" s="132"/>
      <c r="N18" s="132"/>
      <c r="O18" s="79">
        <v>4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52</v>
      </c>
      <c r="E19" s="41" t="s">
        <v>2</v>
      </c>
      <c r="F19" s="132" t="s">
        <v>602</v>
      </c>
      <c r="G19" s="132"/>
      <c r="H19" s="132"/>
      <c r="I19" s="132"/>
      <c r="J19" s="132"/>
      <c r="K19" s="132"/>
      <c r="L19" s="132"/>
      <c r="M19" s="132"/>
      <c r="N19" s="132"/>
      <c r="O19" s="79">
        <v>4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52</v>
      </c>
      <c r="E20" s="41" t="s">
        <v>13</v>
      </c>
      <c r="F20" s="132" t="s">
        <v>576</v>
      </c>
      <c r="G20" s="132"/>
      <c r="H20" s="132"/>
      <c r="I20" s="132"/>
      <c r="J20" s="132"/>
      <c r="K20" s="132"/>
      <c r="L20" s="132"/>
      <c r="M20" s="132"/>
      <c r="N20" s="132"/>
      <c r="O20" s="79">
        <v>4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52</v>
      </c>
      <c r="E21" s="41" t="s">
        <v>13</v>
      </c>
      <c r="F21" s="132" t="s">
        <v>603</v>
      </c>
      <c r="G21" s="132"/>
      <c r="H21" s="132"/>
      <c r="I21" s="132"/>
      <c r="J21" s="132"/>
      <c r="K21" s="132"/>
      <c r="L21" s="132"/>
      <c r="M21" s="132"/>
      <c r="N21" s="132"/>
      <c r="O21" s="79">
        <v>4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52</v>
      </c>
      <c r="E22" s="41" t="s">
        <v>13</v>
      </c>
      <c r="F22" s="132" t="s">
        <v>604</v>
      </c>
      <c r="G22" s="132"/>
      <c r="H22" s="132"/>
      <c r="I22" s="132"/>
      <c r="J22" s="132"/>
      <c r="K22" s="132"/>
      <c r="L22" s="132"/>
      <c r="M22" s="132"/>
      <c r="N22" s="132"/>
      <c r="O22" s="80">
        <v>4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52</v>
      </c>
      <c r="E23" s="41" t="s">
        <v>13</v>
      </c>
      <c r="F23" s="132" t="s">
        <v>605</v>
      </c>
      <c r="G23" s="132"/>
      <c r="H23" s="132"/>
      <c r="I23" s="132"/>
      <c r="J23" s="132"/>
      <c r="K23" s="132"/>
      <c r="L23" s="132"/>
      <c r="M23" s="132"/>
      <c r="N23" s="132"/>
      <c r="O23" s="80">
        <v>2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52</v>
      </c>
      <c r="E24" s="41" t="s">
        <v>13</v>
      </c>
      <c r="F24" s="132" t="s">
        <v>585</v>
      </c>
      <c r="G24" s="132"/>
      <c r="H24" s="132"/>
      <c r="I24" s="132"/>
      <c r="J24" s="132"/>
      <c r="K24" s="132"/>
      <c r="L24" s="132"/>
      <c r="M24" s="132"/>
      <c r="N24" s="132"/>
      <c r="O24" s="79">
        <v>2</v>
      </c>
    </row>
    <row r="25" spans="2:15" s="10" customFormat="1" ht="207" customHeight="1" x14ac:dyDescent="0.3">
      <c r="B25" s="42">
        <v>20</v>
      </c>
      <c r="C25" s="41">
        <f t="shared" si="0"/>
        <v>2.5</v>
      </c>
      <c r="D25" s="44" t="s">
        <v>14</v>
      </c>
      <c r="E25" s="41" t="s">
        <v>25</v>
      </c>
      <c r="F25" s="132" t="s">
        <v>944</v>
      </c>
      <c r="G25" s="132"/>
      <c r="H25" s="132"/>
      <c r="I25" s="132"/>
      <c r="J25" s="132"/>
      <c r="K25" s="132"/>
      <c r="L25" s="132"/>
      <c r="M25" s="132"/>
      <c r="N25" s="132"/>
      <c r="O25" s="96" t="s">
        <v>116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52</v>
      </c>
      <c r="E26" s="41" t="s">
        <v>108</v>
      </c>
      <c r="F26" s="132" t="s">
        <v>130</v>
      </c>
      <c r="G26" s="133"/>
      <c r="H26" s="133"/>
      <c r="I26" s="133"/>
      <c r="J26" s="133"/>
      <c r="K26" s="133"/>
      <c r="L26" s="133"/>
      <c r="M26" s="133"/>
      <c r="N26" s="133"/>
      <c r="O26" s="80" t="s">
        <v>133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52</v>
      </c>
      <c r="E27" s="41" t="s">
        <v>108</v>
      </c>
      <c r="F27" s="135" t="s">
        <v>134</v>
      </c>
      <c r="G27" s="132"/>
      <c r="H27" s="132"/>
      <c r="I27" s="132"/>
      <c r="J27" s="132"/>
      <c r="K27" s="132"/>
      <c r="L27" s="132"/>
      <c r="M27" s="132"/>
      <c r="N27" s="132"/>
      <c r="O27" s="80" t="s">
        <v>135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52</v>
      </c>
      <c r="E28" s="41" t="s">
        <v>16</v>
      </c>
      <c r="F28" s="135" t="s">
        <v>136</v>
      </c>
      <c r="G28" s="132"/>
      <c r="H28" s="132"/>
      <c r="I28" s="132"/>
      <c r="J28" s="132"/>
      <c r="K28" s="132"/>
      <c r="L28" s="132"/>
      <c r="M28" s="132"/>
      <c r="N28" s="132"/>
      <c r="O28" s="79" t="s">
        <v>137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52</v>
      </c>
      <c r="E29" s="41" t="s">
        <v>16</v>
      </c>
      <c r="F29" s="132" t="s">
        <v>943</v>
      </c>
      <c r="G29" s="132"/>
      <c r="H29" s="132"/>
      <c r="I29" s="132"/>
      <c r="J29" s="132"/>
      <c r="K29" s="132"/>
      <c r="L29" s="132"/>
      <c r="M29" s="132"/>
      <c r="N29" s="132"/>
      <c r="O29" s="79">
        <v>3.38</v>
      </c>
    </row>
    <row r="30" spans="2:15" s="10" customFormat="1" ht="207" customHeight="1" x14ac:dyDescent="0.3">
      <c r="B30" s="42">
        <v>25</v>
      </c>
      <c r="C30" s="41">
        <f t="shared" si="0"/>
        <v>4</v>
      </c>
      <c r="D30" s="41" t="s">
        <v>52</v>
      </c>
      <c r="E30" s="41" t="s">
        <v>2</v>
      </c>
      <c r="F30" s="132" t="s">
        <v>606</v>
      </c>
      <c r="G30" s="132"/>
      <c r="H30" s="132"/>
      <c r="I30" s="132"/>
      <c r="J30" s="132"/>
      <c r="K30" s="132"/>
      <c r="L30" s="132"/>
      <c r="M30" s="132"/>
      <c r="N30" s="132"/>
      <c r="O30" s="79">
        <v>2</v>
      </c>
    </row>
    <row r="31" spans="2:15" s="10" customFormat="1" ht="207" customHeight="1" x14ac:dyDescent="0.3">
      <c r="B31" s="42">
        <v>44</v>
      </c>
      <c r="C31" s="41">
        <f t="shared" si="0"/>
        <v>2.5</v>
      </c>
      <c r="D31" s="41" t="s">
        <v>52</v>
      </c>
      <c r="E31" s="41" t="s">
        <v>25</v>
      </c>
      <c r="F31" s="132" t="s">
        <v>591</v>
      </c>
      <c r="G31" s="132"/>
      <c r="H31" s="132"/>
      <c r="I31" s="132"/>
      <c r="J31" s="132"/>
      <c r="K31" s="132"/>
      <c r="L31" s="132"/>
      <c r="M31" s="132"/>
      <c r="N31" s="132"/>
      <c r="O31" s="80">
        <v>3</v>
      </c>
    </row>
    <row r="32" spans="2:15" s="10" customFormat="1" ht="207" customHeight="1" x14ac:dyDescent="0.3">
      <c r="B32" s="42">
        <v>45</v>
      </c>
      <c r="C32" s="41">
        <f t="shared" si="0"/>
        <v>2.5</v>
      </c>
      <c r="D32" s="41" t="s">
        <v>52</v>
      </c>
      <c r="E32" s="41" t="s">
        <v>25</v>
      </c>
      <c r="F32" s="132" t="s">
        <v>592</v>
      </c>
      <c r="G32" s="132"/>
      <c r="H32" s="132"/>
      <c r="I32" s="132"/>
      <c r="J32" s="132"/>
      <c r="K32" s="132"/>
      <c r="L32" s="132"/>
      <c r="M32" s="132"/>
      <c r="N32" s="132"/>
      <c r="O32" s="80">
        <v>3</v>
      </c>
    </row>
  </sheetData>
  <mergeCells count="30">
    <mergeCell ref="F27:N27"/>
    <mergeCell ref="F28:N28"/>
    <mergeCell ref="F29:N29"/>
    <mergeCell ref="F30:N30"/>
    <mergeCell ref="F32:N32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1"/>
  <dimension ref="B2:O35"/>
  <sheetViews>
    <sheetView showGridLines="0" topLeftCell="A29" zoomScale="40" zoomScaleNormal="40" zoomScaleSheetLayoutView="55" workbookViewId="0">
      <selection activeCell="O33" sqref="O33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152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0"/>
      <c r="H4" s="60"/>
      <c r="I4" s="60"/>
      <c r="J4" s="60"/>
      <c r="K4" s="60"/>
      <c r="L4" s="60"/>
      <c r="M4" s="60"/>
      <c r="N4" s="60"/>
    </row>
    <row r="5" spans="2:15" ht="49.5" customHeight="1" x14ac:dyDescent="0.3">
      <c r="B5" s="36" t="s">
        <v>0</v>
      </c>
      <c r="C5" s="61" t="s">
        <v>20</v>
      </c>
      <c r="D5" s="61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13</v>
      </c>
      <c r="F6" s="132" t="s">
        <v>607</v>
      </c>
      <c r="G6" s="132"/>
      <c r="H6" s="132"/>
      <c r="I6" s="132"/>
      <c r="J6" s="132"/>
      <c r="K6" s="132"/>
      <c r="L6" s="132"/>
      <c r="M6" s="132"/>
      <c r="N6" s="132"/>
      <c r="O6" s="80">
        <v>3</v>
      </c>
    </row>
    <row r="7" spans="2:15" s="10" customFormat="1" ht="206.25" customHeight="1" x14ac:dyDescent="0.3">
      <c r="B7" s="42">
        <v>2</v>
      </c>
      <c r="C7" s="41">
        <f t="shared" ref="C7:C35" si="0">IF(E7="공통",2.5,IF(E7="객관식",4,IF(E7="주관식",5,"")))</f>
        <v>4</v>
      </c>
      <c r="D7" s="41" t="s">
        <v>14</v>
      </c>
      <c r="E7" s="41" t="s">
        <v>13</v>
      </c>
      <c r="F7" s="132" t="s">
        <v>608</v>
      </c>
      <c r="G7" s="140"/>
      <c r="H7" s="140"/>
      <c r="I7" s="140"/>
      <c r="J7" s="140"/>
      <c r="K7" s="140"/>
      <c r="L7" s="140"/>
      <c r="M7" s="140"/>
      <c r="N7" s="141"/>
      <c r="O7" s="80">
        <v>1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14</v>
      </c>
      <c r="E8" s="41" t="s">
        <v>13</v>
      </c>
      <c r="F8" s="132" t="s">
        <v>933</v>
      </c>
      <c r="G8" s="132"/>
      <c r="H8" s="132"/>
      <c r="I8" s="132"/>
      <c r="J8" s="132"/>
      <c r="K8" s="132"/>
      <c r="L8" s="132"/>
      <c r="M8" s="132"/>
      <c r="N8" s="132"/>
      <c r="O8" s="80">
        <v>4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14</v>
      </c>
      <c r="E9" s="41" t="s">
        <v>13</v>
      </c>
      <c r="F9" s="132" t="s">
        <v>930</v>
      </c>
      <c r="G9" s="132"/>
      <c r="H9" s="132"/>
      <c r="I9" s="132"/>
      <c r="J9" s="132"/>
      <c r="K9" s="132"/>
      <c r="L9" s="132"/>
      <c r="M9" s="132"/>
      <c r="N9" s="132"/>
      <c r="O9" s="80">
        <v>3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13</v>
      </c>
      <c r="F10" s="132" t="s">
        <v>931</v>
      </c>
      <c r="G10" s="132"/>
      <c r="H10" s="132"/>
      <c r="I10" s="132"/>
      <c r="J10" s="132"/>
      <c r="K10" s="132"/>
      <c r="L10" s="132"/>
      <c r="M10" s="132"/>
      <c r="N10" s="132"/>
      <c r="O10" s="80">
        <v>1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14</v>
      </c>
      <c r="E11" s="41" t="s">
        <v>13</v>
      </c>
      <c r="F11" s="132" t="s">
        <v>609</v>
      </c>
      <c r="G11" s="132"/>
      <c r="H11" s="132"/>
      <c r="I11" s="132"/>
      <c r="J11" s="132"/>
      <c r="K11" s="132"/>
      <c r="L11" s="132"/>
      <c r="M11" s="132"/>
      <c r="N11" s="132"/>
      <c r="O11" s="80">
        <v>4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13</v>
      </c>
      <c r="F12" s="132" t="s">
        <v>1016</v>
      </c>
      <c r="G12" s="132"/>
      <c r="H12" s="132"/>
      <c r="I12" s="132"/>
      <c r="J12" s="132"/>
      <c r="K12" s="132"/>
      <c r="L12" s="132"/>
      <c r="M12" s="132"/>
      <c r="N12" s="132"/>
      <c r="O12" s="80">
        <v>4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13</v>
      </c>
      <c r="F13" s="132" t="s">
        <v>610</v>
      </c>
      <c r="G13" s="132"/>
      <c r="H13" s="132"/>
      <c r="I13" s="132"/>
      <c r="J13" s="132"/>
      <c r="K13" s="132"/>
      <c r="L13" s="132"/>
      <c r="M13" s="132"/>
      <c r="N13" s="132"/>
      <c r="O13" s="79">
        <v>1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2</v>
      </c>
      <c r="F14" s="132" t="s">
        <v>611</v>
      </c>
      <c r="G14" s="132"/>
      <c r="H14" s="132"/>
      <c r="I14" s="132"/>
      <c r="J14" s="132"/>
      <c r="K14" s="132"/>
      <c r="L14" s="132"/>
      <c r="M14" s="132"/>
      <c r="N14" s="132"/>
      <c r="O14" s="79">
        <v>4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13</v>
      </c>
      <c r="F15" s="132" t="s">
        <v>612</v>
      </c>
      <c r="G15" s="132"/>
      <c r="H15" s="132"/>
      <c r="I15" s="132"/>
      <c r="J15" s="132"/>
      <c r="K15" s="132"/>
      <c r="L15" s="132"/>
      <c r="M15" s="132"/>
      <c r="N15" s="132"/>
      <c r="O15" s="79">
        <v>4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13</v>
      </c>
      <c r="F16" s="132" t="s">
        <v>613</v>
      </c>
      <c r="G16" s="132"/>
      <c r="H16" s="132"/>
      <c r="I16" s="132"/>
      <c r="J16" s="132"/>
      <c r="K16" s="132"/>
      <c r="L16" s="132"/>
      <c r="M16" s="132"/>
      <c r="N16" s="132"/>
      <c r="O16" s="80">
        <v>2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13</v>
      </c>
      <c r="F17" s="135" t="s">
        <v>614</v>
      </c>
      <c r="G17" s="132"/>
      <c r="H17" s="132"/>
      <c r="I17" s="132"/>
      <c r="J17" s="132"/>
      <c r="K17" s="132"/>
      <c r="L17" s="132"/>
      <c r="M17" s="132"/>
      <c r="N17" s="132"/>
      <c r="O17" s="79">
        <v>4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13</v>
      </c>
      <c r="F18" s="132" t="s">
        <v>615</v>
      </c>
      <c r="G18" s="132"/>
      <c r="H18" s="132"/>
      <c r="I18" s="132"/>
      <c r="J18" s="132"/>
      <c r="K18" s="132"/>
      <c r="L18" s="132"/>
      <c r="M18" s="132"/>
      <c r="N18" s="132"/>
      <c r="O18" s="79">
        <v>4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2</v>
      </c>
      <c r="F19" s="132" t="s">
        <v>616</v>
      </c>
      <c r="G19" s="132"/>
      <c r="H19" s="132"/>
      <c r="I19" s="132"/>
      <c r="J19" s="132"/>
      <c r="K19" s="132"/>
      <c r="L19" s="132"/>
      <c r="M19" s="132"/>
      <c r="N19" s="132"/>
      <c r="O19" s="79">
        <v>3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13</v>
      </c>
      <c r="F20" s="132" t="s">
        <v>617</v>
      </c>
      <c r="G20" s="132"/>
      <c r="H20" s="132"/>
      <c r="I20" s="132"/>
      <c r="J20" s="132"/>
      <c r="K20" s="132"/>
      <c r="L20" s="132"/>
      <c r="M20" s="132"/>
      <c r="N20" s="132"/>
      <c r="O20" s="79">
        <v>4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13</v>
      </c>
      <c r="F21" s="132" t="s">
        <v>932</v>
      </c>
      <c r="G21" s="132"/>
      <c r="H21" s="132"/>
      <c r="I21" s="132"/>
      <c r="J21" s="132"/>
      <c r="K21" s="132"/>
      <c r="L21" s="132"/>
      <c r="M21" s="132"/>
      <c r="N21" s="132"/>
      <c r="O21" s="80">
        <v>2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13</v>
      </c>
      <c r="F22" s="132" t="s">
        <v>618</v>
      </c>
      <c r="G22" s="132"/>
      <c r="H22" s="132"/>
      <c r="I22" s="132"/>
      <c r="J22" s="132"/>
      <c r="K22" s="132"/>
      <c r="L22" s="132"/>
      <c r="M22" s="132"/>
      <c r="N22" s="132"/>
      <c r="O22" s="80">
        <v>2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14</v>
      </c>
      <c r="E23" s="41" t="s">
        <v>13</v>
      </c>
      <c r="F23" s="132" t="s">
        <v>619</v>
      </c>
      <c r="G23" s="132"/>
      <c r="H23" s="132"/>
      <c r="I23" s="132"/>
      <c r="J23" s="132"/>
      <c r="K23" s="132"/>
      <c r="L23" s="132"/>
      <c r="M23" s="132"/>
      <c r="N23" s="132"/>
      <c r="O23" s="80">
        <v>1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14</v>
      </c>
      <c r="E24" s="41" t="s">
        <v>13</v>
      </c>
      <c r="F24" s="132" t="s">
        <v>620</v>
      </c>
      <c r="G24" s="132"/>
      <c r="H24" s="132"/>
      <c r="I24" s="132"/>
      <c r="J24" s="132"/>
      <c r="K24" s="132"/>
      <c r="L24" s="132"/>
      <c r="M24" s="132"/>
      <c r="N24" s="132"/>
      <c r="O24" s="79">
        <v>2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14</v>
      </c>
      <c r="E25" s="41" t="s">
        <v>13</v>
      </c>
      <c r="F25" s="132" t="s">
        <v>621</v>
      </c>
      <c r="G25" s="132"/>
      <c r="H25" s="132"/>
      <c r="I25" s="132"/>
      <c r="J25" s="132"/>
      <c r="K25" s="132"/>
      <c r="L25" s="132"/>
      <c r="M25" s="132"/>
      <c r="N25" s="132"/>
      <c r="O25" s="96">
        <v>1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14</v>
      </c>
      <c r="E26" s="41" t="s">
        <v>108</v>
      </c>
      <c r="F26" s="132" t="s">
        <v>138</v>
      </c>
      <c r="G26" s="133"/>
      <c r="H26" s="133"/>
      <c r="I26" s="133"/>
      <c r="J26" s="133"/>
      <c r="K26" s="133"/>
      <c r="L26" s="133"/>
      <c r="M26" s="133"/>
      <c r="N26" s="133"/>
      <c r="O26" s="80" t="s">
        <v>139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14</v>
      </c>
      <c r="E27" s="41" t="s">
        <v>108</v>
      </c>
      <c r="F27" s="135" t="s">
        <v>140</v>
      </c>
      <c r="G27" s="132"/>
      <c r="H27" s="132"/>
      <c r="I27" s="132"/>
      <c r="J27" s="132"/>
      <c r="K27" s="132"/>
      <c r="L27" s="132"/>
      <c r="M27" s="132"/>
      <c r="N27" s="132"/>
      <c r="O27" s="80" t="s">
        <v>141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14</v>
      </c>
      <c r="E28" s="41" t="s">
        <v>16</v>
      </c>
      <c r="F28" s="135" t="s">
        <v>142</v>
      </c>
      <c r="G28" s="132"/>
      <c r="H28" s="132"/>
      <c r="I28" s="132"/>
      <c r="J28" s="132"/>
      <c r="K28" s="132"/>
      <c r="L28" s="132"/>
      <c r="M28" s="132"/>
      <c r="N28" s="132"/>
      <c r="O28" s="79" t="s">
        <v>143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14</v>
      </c>
      <c r="E29" s="41" t="s">
        <v>16</v>
      </c>
      <c r="F29" s="132" t="s">
        <v>144</v>
      </c>
      <c r="G29" s="132"/>
      <c r="H29" s="132"/>
      <c r="I29" s="132"/>
      <c r="J29" s="132"/>
      <c r="K29" s="132"/>
      <c r="L29" s="132"/>
      <c r="M29" s="132"/>
      <c r="N29" s="132"/>
      <c r="O29" s="79" t="s">
        <v>145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14</v>
      </c>
      <c r="E30" s="41" t="s">
        <v>16</v>
      </c>
      <c r="F30" s="132" t="s">
        <v>146</v>
      </c>
      <c r="G30" s="132"/>
      <c r="H30" s="132"/>
      <c r="I30" s="132"/>
      <c r="J30" s="132"/>
      <c r="K30" s="132"/>
      <c r="L30" s="132"/>
      <c r="M30" s="132"/>
      <c r="N30" s="132"/>
      <c r="O30" s="79" t="s">
        <v>147</v>
      </c>
    </row>
    <row r="31" spans="2:15" s="10" customFormat="1" ht="207" customHeight="1" x14ac:dyDescent="0.3">
      <c r="B31" s="42">
        <v>26</v>
      </c>
      <c r="C31" s="41">
        <f t="shared" si="0"/>
        <v>5</v>
      </c>
      <c r="D31" s="41" t="s">
        <v>14</v>
      </c>
      <c r="E31" s="41" t="s">
        <v>16</v>
      </c>
      <c r="F31" s="132" t="s">
        <v>302</v>
      </c>
      <c r="G31" s="132"/>
      <c r="H31" s="132"/>
      <c r="I31" s="132"/>
      <c r="J31" s="132"/>
      <c r="K31" s="132"/>
      <c r="L31" s="132"/>
      <c r="M31" s="132"/>
      <c r="N31" s="132"/>
      <c r="O31" s="89" t="s">
        <v>303</v>
      </c>
    </row>
    <row r="32" spans="2:15" s="10" customFormat="1" ht="207" customHeight="1" x14ac:dyDescent="0.3">
      <c r="B32" s="42">
        <v>27</v>
      </c>
      <c r="C32" s="41">
        <f t="shared" si="0"/>
        <v>4</v>
      </c>
      <c r="D32" s="41" t="s">
        <v>14</v>
      </c>
      <c r="E32" s="41" t="s">
        <v>2</v>
      </c>
      <c r="F32" s="132" t="s">
        <v>1014</v>
      </c>
      <c r="G32" s="132"/>
      <c r="H32" s="132"/>
      <c r="I32" s="132"/>
      <c r="J32" s="132"/>
      <c r="K32" s="132"/>
      <c r="L32" s="132"/>
      <c r="M32" s="132"/>
      <c r="N32" s="132"/>
      <c r="O32" s="80" t="s">
        <v>1015</v>
      </c>
    </row>
    <row r="33" spans="2:15" s="10" customFormat="1" ht="207" customHeight="1" x14ac:dyDescent="0.3">
      <c r="B33" s="42">
        <v>28</v>
      </c>
      <c r="C33" s="41">
        <f t="shared" si="0"/>
        <v>5</v>
      </c>
      <c r="D33" s="41" t="s">
        <v>14</v>
      </c>
      <c r="E33" s="41" t="s">
        <v>16</v>
      </c>
      <c r="F33" s="132" t="s">
        <v>945</v>
      </c>
      <c r="G33" s="132"/>
      <c r="H33" s="132"/>
      <c r="I33" s="132"/>
      <c r="J33" s="132"/>
      <c r="K33" s="132"/>
      <c r="L33" s="132"/>
      <c r="M33" s="132"/>
      <c r="N33" s="132"/>
      <c r="O33" s="83" t="s">
        <v>304</v>
      </c>
    </row>
    <row r="34" spans="2:15" s="10" customFormat="1" ht="207" customHeight="1" x14ac:dyDescent="0.3">
      <c r="B34" s="42">
        <v>44</v>
      </c>
      <c r="C34" s="41">
        <f t="shared" si="0"/>
        <v>2.5</v>
      </c>
      <c r="D34" s="41" t="s">
        <v>14</v>
      </c>
      <c r="E34" s="41" t="s">
        <v>25</v>
      </c>
      <c r="F34" s="132" t="s">
        <v>622</v>
      </c>
      <c r="G34" s="132"/>
      <c r="H34" s="132"/>
      <c r="I34" s="132"/>
      <c r="J34" s="132"/>
      <c r="K34" s="132"/>
      <c r="L34" s="132"/>
      <c r="M34" s="132"/>
      <c r="N34" s="132"/>
      <c r="O34" s="80">
        <v>2</v>
      </c>
    </row>
    <row r="35" spans="2:15" s="10" customFormat="1" ht="207" customHeight="1" x14ac:dyDescent="0.3">
      <c r="B35" s="42">
        <v>45</v>
      </c>
      <c r="C35" s="41">
        <f t="shared" si="0"/>
        <v>2.5</v>
      </c>
      <c r="D35" s="41" t="s">
        <v>14</v>
      </c>
      <c r="E35" s="41" t="s">
        <v>25</v>
      </c>
      <c r="F35" s="132" t="s">
        <v>623</v>
      </c>
      <c r="G35" s="132"/>
      <c r="H35" s="132"/>
      <c r="I35" s="132"/>
      <c r="J35" s="132"/>
      <c r="K35" s="132"/>
      <c r="L35" s="132"/>
      <c r="M35" s="132"/>
      <c r="N35" s="132"/>
      <c r="O35" s="80">
        <v>3</v>
      </c>
    </row>
  </sheetData>
  <mergeCells count="33">
    <mergeCell ref="F32:N32"/>
    <mergeCell ref="F33:N33"/>
    <mergeCell ref="F35:N35"/>
    <mergeCell ref="F34:N34"/>
    <mergeCell ref="F27:N27"/>
    <mergeCell ref="F28:N28"/>
    <mergeCell ref="F29:N29"/>
    <mergeCell ref="F30:N30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2"/>
  <dimension ref="B2:O39"/>
  <sheetViews>
    <sheetView showGridLines="0" zoomScale="40" zoomScaleNormal="40" zoomScaleSheetLayoutView="55" workbookViewId="0">
      <selection activeCell="X8" sqref="X8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160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0"/>
      <c r="H4" s="60"/>
      <c r="I4" s="60"/>
      <c r="J4" s="60"/>
      <c r="K4" s="60"/>
      <c r="L4" s="60"/>
      <c r="M4" s="60"/>
      <c r="N4" s="60"/>
    </row>
    <row r="5" spans="2:15" ht="49.5" customHeight="1" x14ac:dyDescent="0.3">
      <c r="B5" s="36" t="s">
        <v>0</v>
      </c>
      <c r="C5" s="61" t="s">
        <v>20</v>
      </c>
      <c r="D5" s="61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2.5</v>
      </c>
      <c r="D6" s="41" t="s">
        <v>52</v>
      </c>
      <c r="E6" s="41" t="s">
        <v>25</v>
      </c>
      <c r="F6" s="132" t="s">
        <v>624</v>
      </c>
      <c r="G6" s="132"/>
      <c r="H6" s="132"/>
      <c r="I6" s="132"/>
      <c r="J6" s="132"/>
      <c r="K6" s="132"/>
      <c r="L6" s="132"/>
      <c r="M6" s="132"/>
      <c r="N6" s="132"/>
      <c r="O6" s="80">
        <v>1</v>
      </c>
    </row>
    <row r="7" spans="2:15" s="10" customFormat="1" ht="206.25" customHeight="1" x14ac:dyDescent="0.3">
      <c r="B7" s="42">
        <v>2</v>
      </c>
      <c r="C7" s="41">
        <f t="shared" ref="C7:C39" si="0">IF(E7="공통",2.5,IF(E7="객관식",4,IF(E7="주관식",5,"")))</f>
        <v>4</v>
      </c>
      <c r="D7" s="41" t="s">
        <v>52</v>
      </c>
      <c r="E7" s="41" t="s">
        <v>13</v>
      </c>
      <c r="F7" s="132" t="s">
        <v>625</v>
      </c>
      <c r="G7" s="140"/>
      <c r="H7" s="140"/>
      <c r="I7" s="140"/>
      <c r="J7" s="140"/>
      <c r="K7" s="140"/>
      <c r="L7" s="140"/>
      <c r="M7" s="140"/>
      <c r="N7" s="141"/>
      <c r="O7" s="80">
        <v>1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52</v>
      </c>
      <c r="E8" s="41" t="s">
        <v>13</v>
      </c>
      <c r="F8" s="132" t="s">
        <v>609</v>
      </c>
      <c r="G8" s="132"/>
      <c r="H8" s="132"/>
      <c r="I8" s="132"/>
      <c r="J8" s="132"/>
      <c r="K8" s="132"/>
      <c r="L8" s="132"/>
      <c r="M8" s="132"/>
      <c r="N8" s="132"/>
      <c r="O8" s="80">
        <v>4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52</v>
      </c>
      <c r="E9" s="41" t="s">
        <v>13</v>
      </c>
      <c r="F9" s="132" t="s">
        <v>626</v>
      </c>
      <c r="G9" s="132"/>
      <c r="H9" s="132"/>
      <c r="I9" s="132"/>
      <c r="J9" s="132"/>
      <c r="K9" s="132"/>
      <c r="L9" s="132"/>
      <c r="M9" s="132"/>
      <c r="N9" s="132"/>
      <c r="O9" s="80">
        <v>2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52</v>
      </c>
      <c r="E10" s="41" t="s">
        <v>13</v>
      </c>
      <c r="F10" s="132" t="s">
        <v>627</v>
      </c>
      <c r="G10" s="132"/>
      <c r="H10" s="132"/>
      <c r="I10" s="132"/>
      <c r="J10" s="132"/>
      <c r="K10" s="132"/>
      <c r="L10" s="132"/>
      <c r="M10" s="132"/>
      <c r="N10" s="132"/>
      <c r="O10" s="80">
        <v>3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52</v>
      </c>
      <c r="E11" s="41" t="s">
        <v>13</v>
      </c>
      <c r="F11" s="132" t="s">
        <v>933</v>
      </c>
      <c r="G11" s="132"/>
      <c r="H11" s="132"/>
      <c r="I11" s="132"/>
      <c r="J11" s="132"/>
      <c r="K11" s="132"/>
      <c r="L11" s="132"/>
      <c r="M11" s="132"/>
      <c r="N11" s="132"/>
      <c r="O11" s="80">
        <v>4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52</v>
      </c>
      <c r="E12" s="41" t="s">
        <v>2</v>
      </c>
      <c r="F12" s="132" t="s">
        <v>628</v>
      </c>
      <c r="G12" s="132"/>
      <c r="H12" s="132"/>
      <c r="I12" s="132"/>
      <c r="J12" s="132"/>
      <c r="K12" s="132"/>
      <c r="L12" s="132"/>
      <c r="M12" s="132"/>
      <c r="N12" s="132"/>
      <c r="O12" s="80">
        <v>3</v>
      </c>
    </row>
    <row r="13" spans="2:15" s="10" customFormat="1" ht="207" customHeight="1" x14ac:dyDescent="0.3">
      <c r="B13" s="42">
        <v>8</v>
      </c>
      <c r="C13" s="41">
        <f t="shared" si="0"/>
        <v>2.5</v>
      </c>
      <c r="D13" s="41" t="s">
        <v>52</v>
      </c>
      <c r="E13" s="41" t="s">
        <v>25</v>
      </c>
      <c r="F13" s="132" t="s">
        <v>629</v>
      </c>
      <c r="G13" s="132"/>
      <c r="H13" s="132"/>
      <c r="I13" s="132"/>
      <c r="J13" s="132"/>
      <c r="K13" s="132"/>
      <c r="L13" s="132"/>
      <c r="M13" s="132"/>
      <c r="N13" s="132"/>
      <c r="O13" s="79">
        <v>4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52</v>
      </c>
      <c r="E14" s="41" t="s">
        <v>2</v>
      </c>
      <c r="F14" s="132" t="s">
        <v>630</v>
      </c>
      <c r="G14" s="132"/>
      <c r="H14" s="132"/>
      <c r="I14" s="132"/>
      <c r="J14" s="132"/>
      <c r="K14" s="132"/>
      <c r="L14" s="132"/>
      <c r="M14" s="132"/>
      <c r="N14" s="132"/>
      <c r="O14" s="79">
        <v>4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52</v>
      </c>
      <c r="E15" s="41" t="s">
        <v>13</v>
      </c>
      <c r="F15" s="132" t="s">
        <v>631</v>
      </c>
      <c r="G15" s="132"/>
      <c r="H15" s="132"/>
      <c r="I15" s="132"/>
      <c r="J15" s="132"/>
      <c r="K15" s="132"/>
      <c r="L15" s="132"/>
      <c r="M15" s="132"/>
      <c r="N15" s="132"/>
      <c r="O15" s="79">
        <v>3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52</v>
      </c>
      <c r="E16" s="41" t="s">
        <v>13</v>
      </c>
      <c r="F16" s="132" t="s">
        <v>615</v>
      </c>
      <c r="G16" s="132"/>
      <c r="H16" s="132"/>
      <c r="I16" s="132"/>
      <c r="J16" s="132"/>
      <c r="K16" s="132"/>
      <c r="L16" s="132"/>
      <c r="M16" s="132"/>
      <c r="N16" s="132"/>
      <c r="O16" s="80">
        <v>4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52</v>
      </c>
      <c r="E17" s="41" t="s">
        <v>13</v>
      </c>
      <c r="F17" s="135" t="s">
        <v>632</v>
      </c>
      <c r="G17" s="132"/>
      <c r="H17" s="132"/>
      <c r="I17" s="132"/>
      <c r="J17" s="132"/>
      <c r="K17" s="132"/>
      <c r="L17" s="132"/>
      <c r="M17" s="132"/>
      <c r="N17" s="132"/>
      <c r="O17" s="80">
        <v>3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52</v>
      </c>
      <c r="E18" s="41" t="s">
        <v>13</v>
      </c>
      <c r="F18" s="132" t="s">
        <v>633</v>
      </c>
      <c r="G18" s="132"/>
      <c r="H18" s="132"/>
      <c r="I18" s="132"/>
      <c r="J18" s="132"/>
      <c r="K18" s="132"/>
      <c r="L18" s="132"/>
      <c r="M18" s="132"/>
      <c r="N18" s="132"/>
      <c r="O18" s="80">
        <v>1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52</v>
      </c>
      <c r="E19" s="41" t="s">
        <v>2</v>
      </c>
      <c r="F19" s="132" t="s">
        <v>634</v>
      </c>
      <c r="G19" s="132"/>
      <c r="H19" s="132"/>
      <c r="I19" s="132"/>
      <c r="J19" s="132"/>
      <c r="K19" s="132"/>
      <c r="L19" s="132"/>
      <c r="M19" s="132"/>
      <c r="N19" s="132"/>
      <c r="O19" s="80">
        <v>1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52</v>
      </c>
      <c r="E20" s="41" t="s">
        <v>13</v>
      </c>
      <c r="F20" s="132" t="s">
        <v>620</v>
      </c>
      <c r="G20" s="132"/>
      <c r="H20" s="132"/>
      <c r="I20" s="132"/>
      <c r="J20" s="132"/>
      <c r="K20" s="132"/>
      <c r="L20" s="132"/>
      <c r="M20" s="132"/>
      <c r="N20" s="132"/>
      <c r="O20" s="79">
        <v>2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52</v>
      </c>
      <c r="E21" s="41" t="s">
        <v>13</v>
      </c>
      <c r="F21" s="132" t="s">
        <v>635</v>
      </c>
      <c r="G21" s="132"/>
      <c r="H21" s="132"/>
      <c r="I21" s="132"/>
      <c r="J21" s="132"/>
      <c r="K21" s="132"/>
      <c r="L21" s="132"/>
      <c r="M21" s="132"/>
      <c r="N21" s="132"/>
      <c r="O21" s="80">
        <v>1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52</v>
      </c>
      <c r="E22" s="41" t="s">
        <v>13</v>
      </c>
      <c r="F22" s="132" t="s">
        <v>636</v>
      </c>
      <c r="G22" s="132"/>
      <c r="H22" s="132"/>
      <c r="I22" s="132"/>
      <c r="J22" s="132"/>
      <c r="K22" s="132"/>
      <c r="L22" s="132"/>
      <c r="M22" s="132"/>
      <c r="N22" s="132"/>
      <c r="O22" s="80">
        <v>1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52</v>
      </c>
      <c r="E23" s="41" t="s">
        <v>13</v>
      </c>
      <c r="F23" s="132" t="s">
        <v>611</v>
      </c>
      <c r="G23" s="132"/>
      <c r="H23" s="132"/>
      <c r="I23" s="132"/>
      <c r="J23" s="132"/>
      <c r="K23" s="132"/>
      <c r="L23" s="132"/>
      <c r="M23" s="132"/>
      <c r="N23" s="132"/>
      <c r="O23" s="80">
        <v>4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52</v>
      </c>
      <c r="E24" s="41" t="s">
        <v>13</v>
      </c>
      <c r="F24" s="132" t="s">
        <v>637</v>
      </c>
      <c r="G24" s="132"/>
      <c r="H24" s="132"/>
      <c r="I24" s="132"/>
      <c r="J24" s="132"/>
      <c r="K24" s="132"/>
      <c r="L24" s="132"/>
      <c r="M24" s="132"/>
      <c r="N24" s="132"/>
      <c r="O24" s="79">
        <v>2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52</v>
      </c>
      <c r="E25" s="41" t="s">
        <v>13</v>
      </c>
      <c r="F25" s="132" t="s">
        <v>638</v>
      </c>
      <c r="G25" s="132"/>
      <c r="H25" s="132"/>
      <c r="I25" s="132"/>
      <c r="J25" s="132"/>
      <c r="K25" s="132"/>
      <c r="L25" s="132"/>
      <c r="M25" s="132"/>
      <c r="N25" s="132"/>
      <c r="O25" s="96">
        <v>4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52</v>
      </c>
      <c r="E26" s="41" t="s">
        <v>108</v>
      </c>
      <c r="F26" s="132" t="s">
        <v>153</v>
      </c>
      <c r="G26" s="133"/>
      <c r="H26" s="133"/>
      <c r="I26" s="133"/>
      <c r="J26" s="133"/>
      <c r="K26" s="133"/>
      <c r="L26" s="133"/>
      <c r="M26" s="133"/>
      <c r="N26" s="133"/>
      <c r="O26" s="80" t="s">
        <v>154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52</v>
      </c>
      <c r="E27" s="41" t="s">
        <v>108</v>
      </c>
      <c r="F27" s="135" t="s">
        <v>155</v>
      </c>
      <c r="G27" s="132"/>
      <c r="H27" s="132"/>
      <c r="I27" s="132"/>
      <c r="J27" s="132"/>
      <c r="K27" s="132"/>
      <c r="L27" s="132"/>
      <c r="M27" s="132"/>
      <c r="N27" s="132"/>
      <c r="O27" s="80" t="s">
        <v>141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52</v>
      </c>
      <c r="E28" s="41" t="s">
        <v>16</v>
      </c>
      <c r="F28" s="135" t="s">
        <v>156</v>
      </c>
      <c r="G28" s="132"/>
      <c r="H28" s="132"/>
      <c r="I28" s="132"/>
      <c r="J28" s="132"/>
      <c r="K28" s="132"/>
      <c r="L28" s="132"/>
      <c r="M28" s="132"/>
      <c r="N28" s="132"/>
      <c r="O28" s="79" t="s">
        <v>157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4" t="s">
        <v>14</v>
      </c>
      <c r="E29" s="41" t="s">
        <v>3</v>
      </c>
      <c r="F29" s="132" t="s">
        <v>946</v>
      </c>
      <c r="G29" s="132"/>
      <c r="H29" s="132"/>
      <c r="I29" s="132"/>
      <c r="J29" s="132"/>
      <c r="K29" s="132"/>
      <c r="L29" s="132"/>
      <c r="M29" s="132"/>
      <c r="N29" s="132"/>
      <c r="O29" s="79" t="s">
        <v>18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52</v>
      </c>
      <c r="E30" s="41" t="s">
        <v>16</v>
      </c>
      <c r="F30" s="132" t="s">
        <v>158</v>
      </c>
      <c r="G30" s="132"/>
      <c r="H30" s="132"/>
      <c r="I30" s="132"/>
      <c r="J30" s="132"/>
      <c r="K30" s="132"/>
      <c r="L30" s="132"/>
      <c r="M30" s="132"/>
      <c r="N30" s="132"/>
      <c r="O30" s="79" t="s">
        <v>159</v>
      </c>
    </row>
    <row r="31" spans="2:15" s="10" customFormat="1" ht="207" customHeight="1" x14ac:dyDescent="0.3">
      <c r="B31" s="42">
        <v>26</v>
      </c>
      <c r="C31" s="41">
        <f t="shared" si="0"/>
        <v>4</v>
      </c>
      <c r="D31" s="41" t="s">
        <v>52</v>
      </c>
      <c r="E31" s="41" t="s">
        <v>2</v>
      </c>
      <c r="F31" s="132" t="s">
        <v>1017</v>
      </c>
      <c r="G31" s="132"/>
      <c r="H31" s="132"/>
      <c r="I31" s="132"/>
      <c r="J31" s="132"/>
      <c r="K31" s="132"/>
      <c r="L31" s="132"/>
      <c r="M31" s="132"/>
      <c r="N31" s="132"/>
      <c r="O31" s="96">
        <v>4</v>
      </c>
    </row>
    <row r="32" spans="2:15" s="10" customFormat="1" ht="207" customHeight="1" x14ac:dyDescent="0.3">
      <c r="B32" s="42">
        <v>27</v>
      </c>
      <c r="C32" s="41">
        <f t="shared" si="0"/>
        <v>5</v>
      </c>
      <c r="D32" s="41" t="s">
        <v>52</v>
      </c>
      <c r="E32" s="41" t="s">
        <v>16</v>
      </c>
      <c r="F32" s="132" t="s">
        <v>305</v>
      </c>
      <c r="G32" s="132"/>
      <c r="H32" s="132"/>
      <c r="I32" s="132"/>
      <c r="J32" s="132"/>
      <c r="K32" s="132"/>
      <c r="L32" s="132"/>
      <c r="M32" s="132"/>
      <c r="N32" s="132"/>
      <c r="O32" s="80" t="s">
        <v>306</v>
      </c>
    </row>
    <row r="33" spans="2:15" s="10" customFormat="1" ht="207" customHeight="1" x14ac:dyDescent="0.3">
      <c r="B33" s="42">
        <v>28</v>
      </c>
      <c r="C33" s="41">
        <f t="shared" si="0"/>
        <v>5</v>
      </c>
      <c r="D33" s="41" t="s">
        <v>52</v>
      </c>
      <c r="E33" s="41" t="s">
        <v>16</v>
      </c>
      <c r="F33" s="132" t="s">
        <v>307</v>
      </c>
      <c r="G33" s="132"/>
      <c r="H33" s="132"/>
      <c r="I33" s="132"/>
      <c r="J33" s="132"/>
      <c r="K33" s="132"/>
      <c r="L33" s="132"/>
      <c r="M33" s="132"/>
      <c r="N33" s="132"/>
      <c r="O33" s="83" t="s">
        <v>308</v>
      </c>
    </row>
    <row r="34" spans="2:15" s="10" customFormat="1" ht="207" customHeight="1" x14ac:dyDescent="0.3">
      <c r="B34" s="42">
        <v>29</v>
      </c>
      <c r="C34" s="41">
        <f t="shared" si="0"/>
        <v>4</v>
      </c>
      <c r="D34" s="41" t="s">
        <v>52</v>
      </c>
      <c r="E34" s="41" t="s">
        <v>2</v>
      </c>
      <c r="F34" s="132" t="s">
        <v>639</v>
      </c>
      <c r="G34" s="132"/>
      <c r="H34" s="132"/>
      <c r="I34" s="132"/>
      <c r="J34" s="132"/>
      <c r="K34" s="132"/>
      <c r="L34" s="132"/>
      <c r="M34" s="132"/>
      <c r="N34" s="132"/>
      <c r="O34" s="83">
        <v>2</v>
      </c>
    </row>
    <row r="35" spans="2:15" s="10" customFormat="1" ht="207" customHeight="1" x14ac:dyDescent="0.3">
      <c r="B35" s="42">
        <v>30</v>
      </c>
      <c r="C35" s="41">
        <f t="shared" si="0"/>
        <v>4</v>
      </c>
      <c r="D35" s="41" t="s">
        <v>52</v>
      </c>
      <c r="E35" s="41" t="s">
        <v>2</v>
      </c>
      <c r="F35" s="132" t="s">
        <v>640</v>
      </c>
      <c r="G35" s="132"/>
      <c r="H35" s="132"/>
      <c r="I35" s="132"/>
      <c r="J35" s="132"/>
      <c r="K35" s="132"/>
      <c r="L35" s="132"/>
      <c r="M35" s="132"/>
      <c r="N35" s="132"/>
      <c r="O35" s="83">
        <v>2</v>
      </c>
    </row>
    <row r="36" spans="2:15" s="10" customFormat="1" ht="207" customHeight="1" x14ac:dyDescent="0.3">
      <c r="B36" s="42">
        <v>31</v>
      </c>
      <c r="C36" s="41">
        <f t="shared" si="0"/>
        <v>4</v>
      </c>
      <c r="D36" s="41" t="s">
        <v>52</v>
      </c>
      <c r="E36" s="41" t="s">
        <v>2</v>
      </c>
      <c r="F36" s="132" t="s">
        <v>641</v>
      </c>
      <c r="G36" s="132"/>
      <c r="H36" s="132"/>
      <c r="I36" s="132"/>
      <c r="J36" s="132"/>
      <c r="K36" s="132"/>
      <c r="L36" s="132"/>
      <c r="M36" s="132"/>
      <c r="N36" s="132"/>
      <c r="O36" s="83">
        <v>3</v>
      </c>
    </row>
    <row r="37" spans="2:15" s="10" customFormat="1" ht="207" customHeight="1" x14ac:dyDescent="0.3">
      <c r="B37" s="42">
        <v>32</v>
      </c>
      <c r="C37" s="41">
        <f t="shared" si="0"/>
        <v>5</v>
      </c>
      <c r="D37" s="41" t="s">
        <v>52</v>
      </c>
      <c r="E37" s="41" t="s">
        <v>3</v>
      </c>
      <c r="F37" s="132" t="s">
        <v>309</v>
      </c>
      <c r="G37" s="132"/>
      <c r="H37" s="132"/>
      <c r="I37" s="132"/>
      <c r="J37" s="132"/>
      <c r="K37" s="132"/>
      <c r="L37" s="132"/>
      <c r="M37" s="132"/>
      <c r="N37" s="132"/>
      <c r="O37" s="83" t="s">
        <v>310</v>
      </c>
    </row>
    <row r="38" spans="2:15" s="10" customFormat="1" ht="207" customHeight="1" x14ac:dyDescent="0.3">
      <c r="B38" s="42">
        <v>44</v>
      </c>
      <c r="C38" s="41">
        <f t="shared" si="0"/>
        <v>2.5</v>
      </c>
      <c r="D38" s="41" t="s">
        <v>52</v>
      </c>
      <c r="E38" s="41" t="s">
        <v>25</v>
      </c>
      <c r="F38" s="132" t="s">
        <v>622</v>
      </c>
      <c r="G38" s="132"/>
      <c r="H38" s="132"/>
      <c r="I38" s="132"/>
      <c r="J38" s="132"/>
      <c r="K38" s="132"/>
      <c r="L38" s="132"/>
      <c r="M38" s="132"/>
      <c r="N38" s="132"/>
      <c r="O38" s="80">
        <v>2</v>
      </c>
    </row>
    <row r="39" spans="2:15" s="10" customFormat="1" ht="207" customHeight="1" x14ac:dyDescent="0.3">
      <c r="B39" s="42">
        <v>45</v>
      </c>
      <c r="C39" s="41">
        <f t="shared" si="0"/>
        <v>2.5</v>
      </c>
      <c r="D39" s="41" t="s">
        <v>52</v>
      </c>
      <c r="E39" s="41" t="s">
        <v>25</v>
      </c>
      <c r="F39" s="132" t="s">
        <v>623</v>
      </c>
      <c r="G39" s="132"/>
      <c r="H39" s="132"/>
      <c r="I39" s="132"/>
      <c r="J39" s="132"/>
      <c r="K39" s="132"/>
      <c r="L39" s="132"/>
      <c r="M39" s="132"/>
      <c r="N39" s="132"/>
      <c r="O39" s="80">
        <v>3</v>
      </c>
    </row>
  </sheetData>
  <mergeCells count="37">
    <mergeCell ref="F37:N37"/>
    <mergeCell ref="F39:N39"/>
    <mergeCell ref="F38:N38"/>
    <mergeCell ref="F32:N32"/>
    <mergeCell ref="F33:N33"/>
    <mergeCell ref="F34:N34"/>
    <mergeCell ref="F35:N35"/>
    <mergeCell ref="F36:N36"/>
    <mergeCell ref="F27:N27"/>
    <mergeCell ref="F28:N28"/>
    <mergeCell ref="F29:N29"/>
    <mergeCell ref="F30:N30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3"/>
  <dimension ref="B2:O37"/>
  <sheetViews>
    <sheetView showGridLines="0" topLeftCell="A33" zoomScale="40" zoomScaleNormal="40" zoomScaleSheetLayoutView="55" workbookViewId="0">
      <selection activeCell="X27" sqref="X27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488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0"/>
      <c r="H4" s="60"/>
      <c r="I4" s="60"/>
      <c r="J4" s="60"/>
      <c r="K4" s="60"/>
      <c r="L4" s="60"/>
      <c r="M4" s="60"/>
      <c r="N4" s="60"/>
    </row>
    <row r="5" spans="2:15" ht="49.5" customHeight="1" x14ac:dyDescent="0.3">
      <c r="B5" s="36" t="s">
        <v>0</v>
      </c>
      <c r="C5" s="61" t="s">
        <v>20</v>
      </c>
      <c r="D5" s="61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13</v>
      </c>
      <c r="F6" s="132" t="s">
        <v>642</v>
      </c>
      <c r="G6" s="132"/>
      <c r="H6" s="132"/>
      <c r="I6" s="132"/>
      <c r="J6" s="132"/>
      <c r="K6" s="132"/>
      <c r="L6" s="132"/>
      <c r="M6" s="132"/>
      <c r="N6" s="132"/>
      <c r="O6" s="80">
        <v>4</v>
      </c>
    </row>
    <row r="7" spans="2:15" s="10" customFormat="1" ht="206.25" customHeight="1" x14ac:dyDescent="0.3">
      <c r="B7" s="42">
        <v>2</v>
      </c>
      <c r="C7" s="41">
        <f t="shared" ref="C7:C37" si="0">IF(E7="공통",2.5,IF(E7="객관식",4,IF(E7="주관식",5,"")))</f>
        <v>4</v>
      </c>
      <c r="D7" s="41" t="s">
        <v>14</v>
      </c>
      <c r="E7" s="41" t="s">
        <v>13</v>
      </c>
      <c r="F7" s="132" t="s">
        <v>643</v>
      </c>
      <c r="G7" s="140"/>
      <c r="H7" s="140"/>
      <c r="I7" s="140"/>
      <c r="J7" s="140"/>
      <c r="K7" s="140"/>
      <c r="L7" s="140"/>
      <c r="M7" s="140"/>
      <c r="N7" s="141"/>
      <c r="O7" s="80">
        <v>1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14</v>
      </c>
      <c r="E8" s="41" t="s">
        <v>13</v>
      </c>
      <c r="F8" s="132" t="s">
        <v>644</v>
      </c>
      <c r="G8" s="132"/>
      <c r="H8" s="132"/>
      <c r="I8" s="132"/>
      <c r="J8" s="132"/>
      <c r="K8" s="132"/>
      <c r="L8" s="132"/>
      <c r="M8" s="132"/>
      <c r="N8" s="132"/>
      <c r="O8" s="80">
        <v>4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14</v>
      </c>
      <c r="E9" s="41" t="s">
        <v>13</v>
      </c>
      <c r="F9" s="132" t="s">
        <v>645</v>
      </c>
      <c r="G9" s="132"/>
      <c r="H9" s="132"/>
      <c r="I9" s="132"/>
      <c r="J9" s="132"/>
      <c r="K9" s="132"/>
      <c r="L9" s="132"/>
      <c r="M9" s="132"/>
      <c r="N9" s="132"/>
      <c r="O9" s="80">
        <v>3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13</v>
      </c>
      <c r="F10" s="132" t="s">
        <v>646</v>
      </c>
      <c r="G10" s="132"/>
      <c r="H10" s="132"/>
      <c r="I10" s="132"/>
      <c r="J10" s="132"/>
      <c r="K10" s="132"/>
      <c r="L10" s="132"/>
      <c r="M10" s="132"/>
      <c r="N10" s="132"/>
      <c r="O10" s="80">
        <v>1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14</v>
      </c>
      <c r="E11" s="41" t="s">
        <v>13</v>
      </c>
      <c r="F11" s="132" t="s">
        <v>647</v>
      </c>
      <c r="G11" s="132"/>
      <c r="H11" s="132"/>
      <c r="I11" s="132"/>
      <c r="J11" s="132"/>
      <c r="K11" s="132"/>
      <c r="L11" s="132"/>
      <c r="M11" s="132"/>
      <c r="N11" s="132"/>
      <c r="O11" s="80">
        <v>3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13</v>
      </c>
      <c r="F12" s="132" t="s">
        <v>648</v>
      </c>
      <c r="G12" s="132"/>
      <c r="H12" s="132"/>
      <c r="I12" s="132"/>
      <c r="J12" s="132"/>
      <c r="K12" s="132"/>
      <c r="L12" s="132"/>
      <c r="M12" s="132"/>
      <c r="N12" s="132"/>
      <c r="O12" s="80">
        <v>2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13</v>
      </c>
      <c r="F13" s="132" t="s">
        <v>649</v>
      </c>
      <c r="G13" s="132"/>
      <c r="H13" s="132"/>
      <c r="I13" s="132"/>
      <c r="J13" s="132"/>
      <c r="K13" s="132"/>
      <c r="L13" s="132"/>
      <c r="M13" s="132"/>
      <c r="N13" s="132"/>
      <c r="O13" s="79">
        <v>2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2</v>
      </c>
      <c r="F14" s="132" t="s">
        <v>650</v>
      </c>
      <c r="G14" s="132"/>
      <c r="H14" s="132"/>
      <c r="I14" s="132"/>
      <c r="J14" s="132"/>
      <c r="K14" s="132"/>
      <c r="L14" s="132"/>
      <c r="M14" s="132"/>
      <c r="N14" s="132"/>
      <c r="O14" s="79">
        <v>2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13</v>
      </c>
      <c r="F15" s="132" t="s">
        <v>651</v>
      </c>
      <c r="G15" s="132"/>
      <c r="H15" s="132"/>
      <c r="I15" s="132"/>
      <c r="J15" s="132"/>
      <c r="K15" s="132"/>
      <c r="L15" s="132"/>
      <c r="M15" s="132"/>
      <c r="N15" s="132"/>
      <c r="O15" s="79">
        <v>4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13</v>
      </c>
      <c r="F16" s="132" t="s">
        <v>652</v>
      </c>
      <c r="G16" s="132"/>
      <c r="H16" s="132"/>
      <c r="I16" s="132"/>
      <c r="J16" s="132"/>
      <c r="K16" s="132"/>
      <c r="L16" s="132"/>
      <c r="M16" s="132"/>
      <c r="N16" s="132"/>
      <c r="O16" s="80">
        <v>3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13</v>
      </c>
      <c r="F17" s="135" t="s">
        <v>653</v>
      </c>
      <c r="G17" s="132"/>
      <c r="H17" s="132"/>
      <c r="I17" s="132"/>
      <c r="J17" s="132"/>
      <c r="K17" s="132"/>
      <c r="L17" s="132"/>
      <c r="M17" s="132"/>
      <c r="N17" s="132"/>
      <c r="O17" s="80">
        <v>4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13</v>
      </c>
      <c r="F18" s="132" t="s">
        <v>654</v>
      </c>
      <c r="G18" s="132"/>
      <c r="H18" s="132"/>
      <c r="I18" s="132"/>
      <c r="J18" s="132"/>
      <c r="K18" s="132"/>
      <c r="L18" s="132"/>
      <c r="M18" s="132"/>
      <c r="N18" s="132"/>
      <c r="O18" s="80">
        <v>1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2</v>
      </c>
      <c r="F19" s="132" t="s">
        <v>655</v>
      </c>
      <c r="G19" s="132"/>
      <c r="H19" s="132"/>
      <c r="I19" s="132"/>
      <c r="J19" s="132"/>
      <c r="K19" s="132"/>
      <c r="L19" s="132"/>
      <c r="M19" s="132"/>
      <c r="N19" s="132"/>
      <c r="O19" s="80">
        <v>2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13</v>
      </c>
      <c r="F20" s="132" t="s">
        <v>656</v>
      </c>
      <c r="G20" s="132"/>
      <c r="H20" s="132"/>
      <c r="I20" s="132"/>
      <c r="J20" s="132"/>
      <c r="K20" s="132"/>
      <c r="L20" s="132"/>
      <c r="M20" s="132"/>
      <c r="N20" s="132"/>
      <c r="O20" s="79">
        <v>2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13</v>
      </c>
      <c r="F21" s="132" t="s">
        <v>657</v>
      </c>
      <c r="G21" s="132"/>
      <c r="H21" s="132"/>
      <c r="I21" s="132"/>
      <c r="J21" s="132"/>
      <c r="K21" s="132"/>
      <c r="L21" s="132"/>
      <c r="M21" s="132"/>
      <c r="N21" s="132"/>
      <c r="O21" s="80">
        <v>1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13</v>
      </c>
      <c r="F22" s="132" t="s">
        <v>658</v>
      </c>
      <c r="G22" s="132"/>
      <c r="H22" s="132"/>
      <c r="I22" s="132"/>
      <c r="J22" s="132"/>
      <c r="K22" s="132"/>
      <c r="L22" s="132"/>
      <c r="M22" s="132"/>
      <c r="N22" s="132"/>
      <c r="O22" s="80">
        <v>2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14</v>
      </c>
      <c r="E23" s="41" t="s">
        <v>13</v>
      </c>
      <c r="F23" s="132" t="s">
        <v>659</v>
      </c>
      <c r="G23" s="132"/>
      <c r="H23" s="132"/>
      <c r="I23" s="132"/>
      <c r="J23" s="132"/>
      <c r="K23" s="132"/>
      <c r="L23" s="132"/>
      <c r="M23" s="132"/>
      <c r="N23" s="132"/>
      <c r="O23" s="80">
        <v>1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14</v>
      </c>
      <c r="E24" s="41" t="s">
        <v>13</v>
      </c>
      <c r="F24" s="132" t="s">
        <v>660</v>
      </c>
      <c r="G24" s="132"/>
      <c r="H24" s="132"/>
      <c r="I24" s="132"/>
      <c r="J24" s="132"/>
      <c r="K24" s="132"/>
      <c r="L24" s="132"/>
      <c r="M24" s="132"/>
      <c r="N24" s="132"/>
      <c r="O24" s="79">
        <v>2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14</v>
      </c>
      <c r="E25" s="41" t="s">
        <v>13</v>
      </c>
      <c r="F25" s="132" t="s">
        <v>661</v>
      </c>
      <c r="G25" s="132"/>
      <c r="H25" s="132"/>
      <c r="I25" s="132"/>
      <c r="J25" s="132"/>
      <c r="K25" s="132"/>
      <c r="L25" s="132"/>
      <c r="M25" s="132"/>
      <c r="N25" s="132"/>
      <c r="O25" s="96">
        <v>3</v>
      </c>
    </row>
    <row r="26" spans="2:15" s="10" customFormat="1" ht="207" customHeight="1" x14ac:dyDescent="0.3">
      <c r="B26" s="42">
        <v>21.22</v>
      </c>
      <c r="C26" s="41">
        <f t="shared" si="0"/>
        <v>5</v>
      </c>
      <c r="D26" s="41" t="s">
        <v>14</v>
      </c>
      <c r="E26" s="41" t="s">
        <v>108</v>
      </c>
      <c r="F26" s="132" t="s">
        <v>947</v>
      </c>
      <c r="G26" s="133"/>
      <c r="H26" s="133"/>
      <c r="I26" s="133"/>
      <c r="J26" s="133"/>
      <c r="K26" s="133"/>
      <c r="L26" s="133"/>
      <c r="M26" s="133"/>
      <c r="N26" s="133"/>
      <c r="O26" s="80" t="s">
        <v>161</v>
      </c>
    </row>
    <row r="27" spans="2:15" s="10" customFormat="1" ht="207" customHeight="1" x14ac:dyDescent="0.3">
      <c r="B27" s="42">
        <v>23</v>
      </c>
      <c r="C27" s="41">
        <f t="shared" si="0"/>
        <v>5</v>
      </c>
      <c r="D27" s="41" t="s">
        <v>14</v>
      </c>
      <c r="E27" s="41" t="s">
        <v>108</v>
      </c>
      <c r="F27" s="135" t="s">
        <v>494</v>
      </c>
      <c r="G27" s="132"/>
      <c r="H27" s="132"/>
      <c r="I27" s="132"/>
      <c r="J27" s="132"/>
      <c r="K27" s="132"/>
      <c r="L27" s="132"/>
      <c r="M27" s="132"/>
      <c r="N27" s="132"/>
      <c r="O27" s="80" t="s">
        <v>489</v>
      </c>
    </row>
    <row r="28" spans="2:15" s="10" customFormat="1" ht="207" customHeight="1" x14ac:dyDescent="0.3">
      <c r="B28" s="42">
        <v>24</v>
      </c>
      <c r="C28" s="41">
        <f t="shared" si="0"/>
        <v>5</v>
      </c>
      <c r="D28" s="41" t="s">
        <v>14</v>
      </c>
      <c r="E28" s="41" t="s">
        <v>16</v>
      </c>
      <c r="F28" s="135" t="s">
        <v>162</v>
      </c>
      <c r="G28" s="132"/>
      <c r="H28" s="132"/>
      <c r="I28" s="132"/>
      <c r="J28" s="132"/>
      <c r="K28" s="132"/>
      <c r="L28" s="132"/>
      <c r="M28" s="132"/>
      <c r="N28" s="132"/>
      <c r="O28" s="80" t="s">
        <v>493</v>
      </c>
    </row>
    <row r="29" spans="2:15" s="10" customFormat="1" ht="207" customHeight="1" x14ac:dyDescent="0.3">
      <c r="B29" s="42">
        <v>25</v>
      </c>
      <c r="C29" s="41">
        <f t="shared" si="0"/>
        <v>5</v>
      </c>
      <c r="D29" s="41" t="s">
        <v>14</v>
      </c>
      <c r="E29" s="41" t="s">
        <v>16</v>
      </c>
      <c r="F29" s="132" t="s">
        <v>490</v>
      </c>
      <c r="G29" s="132"/>
      <c r="H29" s="132"/>
      <c r="I29" s="132"/>
      <c r="J29" s="132"/>
      <c r="K29" s="132"/>
      <c r="L29" s="132"/>
      <c r="M29" s="132"/>
      <c r="N29" s="132"/>
      <c r="O29" s="80" t="s">
        <v>492</v>
      </c>
    </row>
    <row r="30" spans="2:15" s="10" customFormat="1" ht="207" customHeight="1" x14ac:dyDescent="0.3">
      <c r="B30" s="42">
        <v>26</v>
      </c>
      <c r="C30" s="41">
        <f t="shared" si="0"/>
        <v>2.5</v>
      </c>
      <c r="D30" s="41" t="s">
        <v>14</v>
      </c>
      <c r="E30" s="41" t="s">
        <v>25</v>
      </c>
      <c r="F30" s="132" t="s">
        <v>662</v>
      </c>
      <c r="G30" s="132"/>
      <c r="H30" s="132"/>
      <c r="I30" s="132"/>
      <c r="J30" s="132"/>
      <c r="K30" s="132"/>
      <c r="L30" s="132"/>
      <c r="M30" s="132"/>
      <c r="N30" s="132"/>
      <c r="O30" s="80">
        <v>3</v>
      </c>
    </row>
    <row r="31" spans="2:15" s="10" customFormat="1" ht="207" customHeight="1" x14ac:dyDescent="0.3">
      <c r="B31" s="42">
        <v>27</v>
      </c>
      <c r="C31" s="41">
        <f t="shared" si="0"/>
        <v>2.5</v>
      </c>
      <c r="D31" s="41" t="s">
        <v>14</v>
      </c>
      <c r="E31" s="41" t="s">
        <v>25</v>
      </c>
      <c r="F31" s="132" t="s">
        <v>663</v>
      </c>
      <c r="G31" s="132"/>
      <c r="H31" s="132"/>
      <c r="I31" s="132"/>
      <c r="J31" s="132"/>
      <c r="K31" s="132"/>
      <c r="L31" s="132"/>
      <c r="M31" s="132"/>
      <c r="N31" s="132"/>
      <c r="O31" s="80">
        <v>3</v>
      </c>
    </row>
    <row r="32" spans="2:15" s="10" customFormat="1" ht="207" customHeight="1" x14ac:dyDescent="0.3">
      <c r="B32" s="42">
        <v>28</v>
      </c>
      <c r="C32" s="41">
        <f t="shared" si="0"/>
        <v>4</v>
      </c>
      <c r="D32" s="41" t="s">
        <v>14</v>
      </c>
      <c r="E32" s="41" t="s">
        <v>2</v>
      </c>
      <c r="F32" s="132" t="s">
        <v>664</v>
      </c>
      <c r="G32" s="132"/>
      <c r="H32" s="132"/>
      <c r="I32" s="132"/>
      <c r="J32" s="132"/>
      <c r="K32" s="132"/>
      <c r="L32" s="132"/>
      <c r="M32" s="132"/>
      <c r="N32" s="132"/>
      <c r="O32" s="80">
        <v>3</v>
      </c>
    </row>
    <row r="33" spans="2:15" s="10" customFormat="1" ht="207" customHeight="1" x14ac:dyDescent="0.3">
      <c r="B33" s="42">
        <v>29</v>
      </c>
      <c r="C33" s="41">
        <f t="shared" si="0"/>
        <v>4</v>
      </c>
      <c r="D33" s="41" t="s">
        <v>14</v>
      </c>
      <c r="E33" s="41" t="s">
        <v>2</v>
      </c>
      <c r="F33" s="132" t="s">
        <v>665</v>
      </c>
      <c r="G33" s="132"/>
      <c r="H33" s="132"/>
      <c r="I33" s="132"/>
      <c r="J33" s="132"/>
      <c r="K33" s="132"/>
      <c r="L33" s="132"/>
      <c r="M33" s="132"/>
      <c r="N33" s="132"/>
      <c r="O33" s="80">
        <v>3</v>
      </c>
    </row>
    <row r="34" spans="2:15" s="10" customFormat="1" ht="207" customHeight="1" x14ac:dyDescent="0.3">
      <c r="B34" s="42">
        <v>30</v>
      </c>
      <c r="C34" s="41">
        <f t="shared" si="0"/>
        <v>5</v>
      </c>
      <c r="D34" s="41" t="s">
        <v>14</v>
      </c>
      <c r="E34" s="41" t="s">
        <v>16</v>
      </c>
      <c r="F34" s="132" t="s">
        <v>311</v>
      </c>
      <c r="G34" s="132"/>
      <c r="H34" s="132"/>
      <c r="I34" s="132"/>
      <c r="J34" s="132"/>
      <c r="K34" s="132"/>
      <c r="L34" s="132"/>
      <c r="M34" s="132"/>
      <c r="N34" s="132"/>
      <c r="O34" s="80" t="s">
        <v>495</v>
      </c>
    </row>
    <row r="35" spans="2:15" s="10" customFormat="1" ht="207" customHeight="1" x14ac:dyDescent="0.3">
      <c r="B35" s="42">
        <v>31</v>
      </c>
      <c r="C35" s="41">
        <f t="shared" si="0"/>
        <v>4</v>
      </c>
      <c r="D35" s="41" t="s">
        <v>14</v>
      </c>
      <c r="E35" s="41" t="s">
        <v>2</v>
      </c>
      <c r="F35" s="132" t="s">
        <v>666</v>
      </c>
      <c r="G35" s="132"/>
      <c r="H35" s="132"/>
      <c r="I35" s="132"/>
      <c r="J35" s="132"/>
      <c r="K35" s="132"/>
      <c r="L35" s="132"/>
      <c r="M35" s="132"/>
      <c r="N35" s="132"/>
      <c r="O35" s="80">
        <v>2</v>
      </c>
    </row>
    <row r="36" spans="2:15" s="10" customFormat="1" ht="207" customHeight="1" x14ac:dyDescent="0.3">
      <c r="B36" s="42">
        <v>32</v>
      </c>
      <c r="C36" s="41">
        <f t="shared" si="0"/>
        <v>4</v>
      </c>
      <c r="D36" s="41" t="s">
        <v>14</v>
      </c>
      <c r="E36" s="41" t="s">
        <v>2</v>
      </c>
      <c r="F36" s="132" t="s">
        <v>667</v>
      </c>
      <c r="G36" s="132"/>
      <c r="H36" s="132"/>
      <c r="I36" s="132"/>
      <c r="J36" s="132"/>
      <c r="K36" s="132"/>
      <c r="L36" s="132"/>
      <c r="M36" s="132"/>
      <c r="N36" s="132"/>
      <c r="O36" s="80">
        <v>4</v>
      </c>
    </row>
    <row r="37" spans="2:15" s="10" customFormat="1" ht="207" customHeight="1" x14ac:dyDescent="0.3">
      <c r="B37" s="42">
        <v>33</v>
      </c>
      <c r="C37" s="41">
        <f t="shared" si="0"/>
        <v>4</v>
      </c>
      <c r="D37" s="41" t="s">
        <v>14</v>
      </c>
      <c r="E37" s="41" t="s">
        <v>2</v>
      </c>
      <c r="F37" s="132" t="s">
        <v>668</v>
      </c>
      <c r="G37" s="132"/>
      <c r="H37" s="132"/>
      <c r="I37" s="132"/>
      <c r="J37" s="132"/>
      <c r="K37" s="132"/>
      <c r="L37" s="132"/>
      <c r="M37" s="132"/>
      <c r="N37" s="132"/>
      <c r="O37" s="83">
        <v>2</v>
      </c>
    </row>
  </sheetData>
  <mergeCells count="35">
    <mergeCell ref="F37:N37"/>
    <mergeCell ref="F32:N32"/>
    <mergeCell ref="F33:N33"/>
    <mergeCell ref="F34:N34"/>
    <mergeCell ref="F35:N35"/>
    <mergeCell ref="F36:N36"/>
    <mergeCell ref="F27:N27"/>
    <mergeCell ref="F28:N28"/>
    <mergeCell ref="F29:N29"/>
    <mergeCell ref="F30:N30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4"/>
  <dimension ref="B2:O33"/>
  <sheetViews>
    <sheetView showGridLines="0" topLeftCell="A29" zoomScale="40" zoomScaleNormal="40" zoomScaleSheetLayoutView="55" workbookViewId="0">
      <selection activeCell="R30" sqref="R30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163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2"/>
      <c r="H4" s="62"/>
      <c r="I4" s="62"/>
      <c r="J4" s="62"/>
      <c r="K4" s="62"/>
      <c r="L4" s="62"/>
      <c r="M4" s="62"/>
      <c r="N4" s="62"/>
    </row>
    <row r="5" spans="2:15" ht="49.5" customHeight="1" x14ac:dyDescent="0.3">
      <c r="B5" s="36" t="s">
        <v>0</v>
      </c>
      <c r="C5" s="63" t="s">
        <v>20</v>
      </c>
      <c r="D5" s="63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52</v>
      </c>
      <c r="E6" s="41" t="s">
        <v>13</v>
      </c>
      <c r="F6" s="132" t="s">
        <v>669</v>
      </c>
      <c r="G6" s="132"/>
      <c r="H6" s="132"/>
      <c r="I6" s="132"/>
      <c r="J6" s="132"/>
      <c r="K6" s="132"/>
      <c r="L6" s="132"/>
      <c r="M6" s="132"/>
      <c r="N6" s="132"/>
      <c r="O6" s="80">
        <v>4</v>
      </c>
    </row>
    <row r="7" spans="2:15" s="10" customFormat="1" ht="206.25" customHeight="1" x14ac:dyDescent="0.3">
      <c r="B7" s="42">
        <v>2</v>
      </c>
      <c r="C7" s="41">
        <f t="shared" ref="C7:C33" si="0">IF(E7="공통",2.5,IF(E7="객관식",4,IF(E7="주관식",5,"")))</f>
        <v>4</v>
      </c>
      <c r="D7" s="41" t="s">
        <v>52</v>
      </c>
      <c r="E7" s="41" t="s">
        <v>13</v>
      </c>
      <c r="F7" s="132" t="s">
        <v>670</v>
      </c>
      <c r="G7" s="140"/>
      <c r="H7" s="140"/>
      <c r="I7" s="140"/>
      <c r="J7" s="140"/>
      <c r="K7" s="140"/>
      <c r="L7" s="140"/>
      <c r="M7" s="140"/>
      <c r="N7" s="141"/>
      <c r="O7" s="80">
        <v>1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52</v>
      </c>
      <c r="E8" s="41" t="s">
        <v>13</v>
      </c>
      <c r="F8" s="132" t="s">
        <v>644</v>
      </c>
      <c r="G8" s="132"/>
      <c r="H8" s="132"/>
      <c r="I8" s="132"/>
      <c r="J8" s="132"/>
      <c r="K8" s="132"/>
      <c r="L8" s="132"/>
      <c r="M8" s="132"/>
      <c r="N8" s="132"/>
      <c r="O8" s="80">
        <v>4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52</v>
      </c>
      <c r="E9" s="41" t="s">
        <v>13</v>
      </c>
      <c r="F9" s="132" t="s">
        <v>645</v>
      </c>
      <c r="G9" s="132"/>
      <c r="H9" s="132"/>
      <c r="I9" s="132"/>
      <c r="J9" s="132"/>
      <c r="K9" s="132"/>
      <c r="L9" s="132"/>
      <c r="M9" s="132"/>
      <c r="N9" s="132"/>
      <c r="O9" s="80">
        <v>3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52</v>
      </c>
      <c r="E10" s="41" t="s">
        <v>13</v>
      </c>
      <c r="F10" s="132" t="s">
        <v>646</v>
      </c>
      <c r="G10" s="132"/>
      <c r="H10" s="132"/>
      <c r="I10" s="132"/>
      <c r="J10" s="132"/>
      <c r="K10" s="132"/>
      <c r="L10" s="132"/>
      <c r="M10" s="132"/>
      <c r="N10" s="132"/>
      <c r="O10" s="80">
        <v>1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52</v>
      </c>
      <c r="E11" s="41" t="s">
        <v>13</v>
      </c>
      <c r="F11" s="132" t="s">
        <v>647</v>
      </c>
      <c r="G11" s="132"/>
      <c r="H11" s="132"/>
      <c r="I11" s="132"/>
      <c r="J11" s="132"/>
      <c r="K11" s="132"/>
      <c r="L11" s="132"/>
      <c r="M11" s="132"/>
      <c r="N11" s="132"/>
      <c r="O11" s="80">
        <v>3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52</v>
      </c>
      <c r="E12" s="41" t="s">
        <v>13</v>
      </c>
      <c r="F12" s="132" t="s">
        <v>671</v>
      </c>
      <c r="G12" s="132"/>
      <c r="H12" s="132"/>
      <c r="I12" s="132"/>
      <c r="J12" s="132"/>
      <c r="K12" s="132"/>
      <c r="L12" s="132"/>
      <c r="M12" s="132"/>
      <c r="N12" s="132"/>
      <c r="O12" s="80">
        <v>4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52</v>
      </c>
      <c r="E13" s="41" t="s">
        <v>13</v>
      </c>
      <c r="F13" s="132" t="s">
        <v>921</v>
      </c>
      <c r="G13" s="132"/>
      <c r="H13" s="132"/>
      <c r="I13" s="132"/>
      <c r="J13" s="132"/>
      <c r="K13" s="132"/>
      <c r="L13" s="132"/>
      <c r="M13" s="132"/>
      <c r="N13" s="132"/>
      <c r="O13" s="80">
        <v>3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52</v>
      </c>
      <c r="E14" s="41" t="s">
        <v>2</v>
      </c>
      <c r="F14" s="132" t="s">
        <v>672</v>
      </c>
      <c r="G14" s="132"/>
      <c r="H14" s="132"/>
      <c r="I14" s="132"/>
      <c r="J14" s="132"/>
      <c r="K14" s="132"/>
      <c r="L14" s="132"/>
      <c r="M14" s="132"/>
      <c r="N14" s="132"/>
      <c r="O14" s="79">
        <v>2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52</v>
      </c>
      <c r="E15" s="41" t="s">
        <v>13</v>
      </c>
      <c r="F15" s="132" t="s">
        <v>673</v>
      </c>
      <c r="G15" s="132"/>
      <c r="H15" s="132"/>
      <c r="I15" s="132"/>
      <c r="J15" s="132"/>
      <c r="K15" s="132"/>
      <c r="L15" s="132"/>
      <c r="M15" s="132"/>
      <c r="N15" s="132"/>
      <c r="O15" s="79">
        <v>2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52</v>
      </c>
      <c r="E16" s="41" t="s">
        <v>13</v>
      </c>
      <c r="F16" s="132" t="s">
        <v>674</v>
      </c>
      <c r="G16" s="132"/>
      <c r="H16" s="132"/>
      <c r="I16" s="132"/>
      <c r="J16" s="132"/>
      <c r="K16" s="132"/>
      <c r="L16" s="132"/>
      <c r="M16" s="132"/>
      <c r="N16" s="132"/>
      <c r="O16" s="80">
        <v>3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52</v>
      </c>
      <c r="E17" s="41" t="s">
        <v>13</v>
      </c>
      <c r="F17" s="135" t="s">
        <v>675</v>
      </c>
      <c r="G17" s="132"/>
      <c r="H17" s="132"/>
      <c r="I17" s="132"/>
      <c r="J17" s="132"/>
      <c r="K17" s="132"/>
      <c r="L17" s="132"/>
      <c r="M17" s="132"/>
      <c r="N17" s="132"/>
      <c r="O17" s="80">
        <v>1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52</v>
      </c>
      <c r="E18" s="41" t="s">
        <v>13</v>
      </c>
      <c r="F18" s="132" t="s">
        <v>676</v>
      </c>
      <c r="G18" s="132"/>
      <c r="H18" s="132"/>
      <c r="I18" s="132"/>
      <c r="J18" s="132"/>
      <c r="K18" s="132"/>
      <c r="L18" s="132"/>
      <c r="M18" s="132"/>
      <c r="N18" s="132"/>
      <c r="O18" s="80">
        <v>4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52</v>
      </c>
      <c r="E19" s="41" t="s">
        <v>2</v>
      </c>
      <c r="F19" s="132" t="s">
        <v>677</v>
      </c>
      <c r="G19" s="132"/>
      <c r="H19" s="132"/>
      <c r="I19" s="132"/>
      <c r="J19" s="132"/>
      <c r="K19" s="132"/>
      <c r="L19" s="132"/>
      <c r="M19" s="132"/>
      <c r="N19" s="132"/>
      <c r="O19" s="80">
        <v>2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52</v>
      </c>
      <c r="E20" s="41" t="s">
        <v>13</v>
      </c>
      <c r="F20" s="132" t="s">
        <v>678</v>
      </c>
      <c r="G20" s="132"/>
      <c r="H20" s="132"/>
      <c r="I20" s="132"/>
      <c r="J20" s="132"/>
      <c r="K20" s="132"/>
      <c r="L20" s="132"/>
      <c r="M20" s="132"/>
      <c r="N20" s="132"/>
      <c r="O20" s="79">
        <v>2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52</v>
      </c>
      <c r="E21" s="41" t="s">
        <v>13</v>
      </c>
      <c r="F21" s="132" t="s">
        <v>679</v>
      </c>
      <c r="G21" s="132"/>
      <c r="H21" s="132"/>
      <c r="I21" s="132"/>
      <c r="J21" s="132"/>
      <c r="K21" s="132"/>
      <c r="L21" s="132"/>
      <c r="M21" s="132"/>
      <c r="N21" s="132"/>
      <c r="O21" s="80">
        <v>1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52</v>
      </c>
      <c r="E22" s="41" t="s">
        <v>13</v>
      </c>
      <c r="F22" s="132" t="s">
        <v>680</v>
      </c>
      <c r="G22" s="132"/>
      <c r="H22" s="132"/>
      <c r="I22" s="132"/>
      <c r="J22" s="132"/>
      <c r="K22" s="132"/>
      <c r="L22" s="132"/>
      <c r="M22" s="132"/>
      <c r="N22" s="132"/>
      <c r="O22" s="80">
        <v>2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52</v>
      </c>
      <c r="E23" s="41" t="s">
        <v>13</v>
      </c>
      <c r="F23" s="132" t="s">
        <v>681</v>
      </c>
      <c r="G23" s="132"/>
      <c r="H23" s="132"/>
      <c r="I23" s="132"/>
      <c r="J23" s="132"/>
      <c r="K23" s="132"/>
      <c r="L23" s="132"/>
      <c r="M23" s="132"/>
      <c r="N23" s="132"/>
      <c r="O23" s="80">
        <v>1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52</v>
      </c>
      <c r="E24" s="41" t="s">
        <v>13</v>
      </c>
      <c r="F24" s="132" t="s">
        <v>682</v>
      </c>
      <c r="G24" s="132"/>
      <c r="H24" s="132"/>
      <c r="I24" s="132"/>
      <c r="J24" s="132"/>
      <c r="K24" s="132"/>
      <c r="L24" s="132"/>
      <c r="M24" s="132"/>
      <c r="N24" s="132"/>
      <c r="O24" s="80">
        <v>2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52</v>
      </c>
      <c r="E25" s="41" t="s">
        <v>13</v>
      </c>
      <c r="F25" s="132" t="s">
        <v>683</v>
      </c>
      <c r="G25" s="132"/>
      <c r="H25" s="132"/>
      <c r="I25" s="132"/>
      <c r="J25" s="132"/>
      <c r="K25" s="132"/>
      <c r="L25" s="132"/>
      <c r="M25" s="132"/>
      <c r="N25" s="132"/>
      <c r="O25" s="96">
        <v>3</v>
      </c>
    </row>
    <row r="26" spans="2:15" s="10" customFormat="1" ht="207" customHeight="1" x14ac:dyDescent="0.3">
      <c r="B26" s="42">
        <v>21.22</v>
      </c>
      <c r="C26" s="41">
        <f t="shared" si="0"/>
        <v>5</v>
      </c>
      <c r="D26" s="41" t="s">
        <v>52</v>
      </c>
      <c r="E26" s="41" t="s">
        <v>16</v>
      </c>
      <c r="F26" s="132" t="s">
        <v>947</v>
      </c>
      <c r="G26" s="133"/>
      <c r="H26" s="133"/>
      <c r="I26" s="133"/>
      <c r="J26" s="133"/>
      <c r="K26" s="133"/>
      <c r="L26" s="133"/>
      <c r="M26" s="133"/>
      <c r="N26" s="133"/>
      <c r="O26" s="80" t="s">
        <v>164</v>
      </c>
    </row>
    <row r="27" spans="2:15" s="10" customFormat="1" ht="207" customHeight="1" x14ac:dyDescent="0.3">
      <c r="B27" s="42">
        <v>23</v>
      </c>
      <c r="C27" s="41">
        <f t="shared" si="0"/>
        <v>5</v>
      </c>
      <c r="D27" s="41" t="s">
        <v>52</v>
      </c>
      <c r="E27" s="41" t="s">
        <v>16</v>
      </c>
      <c r="F27" s="135" t="s">
        <v>165</v>
      </c>
      <c r="G27" s="132"/>
      <c r="H27" s="132"/>
      <c r="I27" s="132"/>
      <c r="J27" s="132"/>
      <c r="K27" s="132"/>
      <c r="L27" s="132"/>
      <c r="M27" s="132"/>
      <c r="N27" s="132"/>
      <c r="O27" s="80" t="s">
        <v>166</v>
      </c>
    </row>
    <row r="28" spans="2:15" s="10" customFormat="1" ht="207" customHeight="1" x14ac:dyDescent="0.3">
      <c r="B28" s="42">
        <v>24</v>
      </c>
      <c r="C28" s="41">
        <f t="shared" si="0"/>
        <v>5</v>
      </c>
      <c r="D28" s="41" t="s">
        <v>52</v>
      </c>
      <c r="E28" s="41" t="s">
        <v>16</v>
      </c>
      <c r="F28" s="135" t="s">
        <v>167</v>
      </c>
      <c r="G28" s="132"/>
      <c r="H28" s="132"/>
      <c r="I28" s="132"/>
      <c r="J28" s="132"/>
      <c r="K28" s="132"/>
      <c r="L28" s="132"/>
      <c r="M28" s="132"/>
      <c r="N28" s="132"/>
      <c r="O28" s="80" t="s">
        <v>168</v>
      </c>
    </row>
    <row r="29" spans="2:15" s="10" customFormat="1" ht="207" customHeight="1" x14ac:dyDescent="0.3">
      <c r="B29" s="42">
        <v>25</v>
      </c>
      <c r="C29" s="41">
        <f t="shared" si="0"/>
        <v>5</v>
      </c>
      <c r="D29" s="41" t="s">
        <v>52</v>
      </c>
      <c r="E29" s="41" t="s">
        <v>16</v>
      </c>
      <c r="F29" s="132" t="s">
        <v>963</v>
      </c>
      <c r="G29" s="132"/>
      <c r="H29" s="132"/>
      <c r="I29" s="132"/>
      <c r="J29" s="132"/>
      <c r="K29" s="132"/>
      <c r="L29" s="132"/>
      <c r="M29" s="132"/>
      <c r="N29" s="132"/>
      <c r="O29" s="80" t="s">
        <v>169</v>
      </c>
    </row>
    <row r="30" spans="2:15" s="10" customFormat="1" ht="207" customHeight="1" x14ac:dyDescent="0.3">
      <c r="B30" s="42">
        <v>26</v>
      </c>
      <c r="C30" s="41">
        <f t="shared" si="0"/>
        <v>2.5</v>
      </c>
      <c r="D30" s="41" t="s">
        <v>52</v>
      </c>
      <c r="E30" s="41" t="s">
        <v>25</v>
      </c>
      <c r="F30" s="132" t="s">
        <v>684</v>
      </c>
      <c r="G30" s="132"/>
      <c r="H30" s="132"/>
      <c r="I30" s="132"/>
      <c r="J30" s="132"/>
      <c r="K30" s="132"/>
      <c r="L30" s="132"/>
      <c r="M30" s="132"/>
      <c r="N30" s="132"/>
      <c r="O30" s="80">
        <v>3</v>
      </c>
    </row>
    <row r="31" spans="2:15" s="10" customFormat="1" ht="207" customHeight="1" x14ac:dyDescent="0.3">
      <c r="B31" s="42">
        <v>27</v>
      </c>
      <c r="C31" s="41">
        <f t="shared" si="0"/>
        <v>2.5</v>
      </c>
      <c r="D31" s="41" t="s">
        <v>52</v>
      </c>
      <c r="E31" s="41" t="s">
        <v>25</v>
      </c>
      <c r="F31" s="132" t="s">
        <v>685</v>
      </c>
      <c r="G31" s="132"/>
      <c r="H31" s="132"/>
      <c r="I31" s="132"/>
      <c r="J31" s="132"/>
      <c r="K31" s="132"/>
      <c r="L31" s="132"/>
      <c r="M31" s="132"/>
      <c r="N31" s="132"/>
      <c r="O31" s="80">
        <v>3</v>
      </c>
    </row>
    <row r="32" spans="2:15" s="10" customFormat="1" ht="207" customHeight="1" x14ac:dyDescent="0.3">
      <c r="B32" s="42">
        <v>28</v>
      </c>
      <c r="C32" s="41">
        <f t="shared" si="0"/>
        <v>2.5</v>
      </c>
      <c r="D32" s="41" t="s">
        <v>52</v>
      </c>
      <c r="E32" s="41" t="s">
        <v>25</v>
      </c>
      <c r="F32" s="132" t="s">
        <v>686</v>
      </c>
      <c r="G32" s="132"/>
      <c r="H32" s="132"/>
      <c r="I32" s="132"/>
      <c r="J32" s="132"/>
      <c r="K32" s="132"/>
      <c r="L32" s="132"/>
      <c r="M32" s="132"/>
      <c r="N32" s="132"/>
      <c r="O32" s="80">
        <v>4</v>
      </c>
    </row>
    <row r="33" spans="2:15" s="10" customFormat="1" ht="207" customHeight="1" x14ac:dyDescent="0.3">
      <c r="B33" s="42">
        <v>29</v>
      </c>
      <c r="C33" s="41">
        <f t="shared" si="0"/>
        <v>4</v>
      </c>
      <c r="D33" s="41" t="s">
        <v>52</v>
      </c>
      <c r="E33" s="41" t="s">
        <v>2</v>
      </c>
      <c r="F33" s="132" t="s">
        <v>687</v>
      </c>
      <c r="G33" s="132"/>
      <c r="H33" s="132"/>
      <c r="I33" s="132"/>
      <c r="J33" s="132"/>
      <c r="K33" s="132"/>
      <c r="L33" s="132"/>
      <c r="M33" s="132"/>
      <c r="N33" s="132"/>
      <c r="O33" s="80">
        <v>2</v>
      </c>
    </row>
  </sheetData>
  <mergeCells count="31">
    <mergeCell ref="F27:N27"/>
    <mergeCell ref="F28:N28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29:N29"/>
    <mergeCell ref="F30:N30"/>
    <mergeCell ref="F31:N31"/>
    <mergeCell ref="F32:N32"/>
    <mergeCell ref="F33:N3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6"/>
  <dimension ref="B2:O50"/>
  <sheetViews>
    <sheetView showGridLines="0" topLeftCell="A47" zoomScale="40" zoomScaleNormal="40" zoomScaleSheetLayoutView="55" workbookViewId="0">
      <selection activeCell="G60" sqref="G60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170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2"/>
      <c r="H4" s="62"/>
      <c r="I4" s="62"/>
      <c r="J4" s="62"/>
      <c r="K4" s="62"/>
      <c r="L4" s="62"/>
      <c r="M4" s="62"/>
      <c r="N4" s="62"/>
    </row>
    <row r="5" spans="2:15" ht="49.5" customHeight="1" x14ac:dyDescent="0.3">
      <c r="B5" s="36" t="s">
        <v>0</v>
      </c>
      <c r="C5" s="63" t="s">
        <v>20</v>
      </c>
      <c r="D5" s="63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13</v>
      </c>
      <c r="F6" s="132" t="s">
        <v>688</v>
      </c>
      <c r="G6" s="132"/>
      <c r="H6" s="132"/>
      <c r="I6" s="132"/>
      <c r="J6" s="132"/>
      <c r="K6" s="132"/>
      <c r="L6" s="132"/>
      <c r="M6" s="132"/>
      <c r="N6" s="132"/>
      <c r="O6" s="80">
        <v>3</v>
      </c>
    </row>
    <row r="7" spans="2:15" s="10" customFormat="1" ht="206.25" customHeight="1" x14ac:dyDescent="0.3">
      <c r="B7" s="42">
        <v>2</v>
      </c>
      <c r="C7" s="41">
        <f t="shared" ref="C7:C50" si="0">IF(E7="공통",2.5,IF(E7="객관식",4,IF(E7="주관식",5,"")))</f>
        <v>4</v>
      </c>
      <c r="D7" s="41" t="s">
        <v>14</v>
      </c>
      <c r="E7" s="41" t="s">
        <v>13</v>
      </c>
      <c r="F7" s="132" t="s">
        <v>689</v>
      </c>
      <c r="G7" s="140"/>
      <c r="H7" s="140"/>
      <c r="I7" s="140"/>
      <c r="J7" s="140"/>
      <c r="K7" s="140"/>
      <c r="L7" s="140"/>
      <c r="M7" s="140"/>
      <c r="N7" s="141"/>
      <c r="O7" s="80">
        <v>4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14</v>
      </c>
      <c r="E8" s="41" t="s">
        <v>13</v>
      </c>
      <c r="F8" s="132" t="s">
        <v>690</v>
      </c>
      <c r="G8" s="132"/>
      <c r="H8" s="132"/>
      <c r="I8" s="132"/>
      <c r="J8" s="132"/>
      <c r="K8" s="132"/>
      <c r="L8" s="132"/>
      <c r="M8" s="132"/>
      <c r="N8" s="132"/>
      <c r="O8" s="80">
        <v>3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14</v>
      </c>
      <c r="E9" s="41" t="s">
        <v>13</v>
      </c>
      <c r="F9" s="132" t="s">
        <v>691</v>
      </c>
      <c r="G9" s="132"/>
      <c r="H9" s="132"/>
      <c r="I9" s="132"/>
      <c r="J9" s="132"/>
      <c r="K9" s="132"/>
      <c r="L9" s="132"/>
      <c r="M9" s="132"/>
      <c r="N9" s="132"/>
      <c r="O9" s="80">
        <v>2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13</v>
      </c>
      <c r="F10" s="132" t="s">
        <v>692</v>
      </c>
      <c r="G10" s="132"/>
      <c r="H10" s="132"/>
      <c r="I10" s="132"/>
      <c r="J10" s="132"/>
      <c r="K10" s="132"/>
      <c r="L10" s="132"/>
      <c r="M10" s="132"/>
      <c r="N10" s="132"/>
      <c r="O10" s="80">
        <v>4</v>
      </c>
    </row>
    <row r="11" spans="2:15" s="10" customFormat="1" ht="207" customHeight="1" x14ac:dyDescent="0.3">
      <c r="B11" s="42">
        <v>6</v>
      </c>
      <c r="C11" s="41">
        <f t="shared" si="0"/>
        <v>5</v>
      </c>
      <c r="D11" s="41" t="s">
        <v>14</v>
      </c>
      <c r="E11" s="41" t="s">
        <v>3</v>
      </c>
      <c r="F11" s="132" t="s">
        <v>268</v>
      </c>
      <c r="G11" s="132"/>
      <c r="H11" s="132"/>
      <c r="I11" s="132"/>
      <c r="J11" s="132"/>
      <c r="K11" s="132"/>
      <c r="L11" s="132"/>
      <c r="M11" s="132"/>
      <c r="N11" s="132"/>
      <c r="O11" s="80">
        <v>3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13</v>
      </c>
      <c r="F12" s="132" t="s">
        <v>693</v>
      </c>
      <c r="G12" s="132"/>
      <c r="H12" s="132"/>
      <c r="I12" s="132"/>
      <c r="J12" s="132"/>
      <c r="K12" s="132"/>
      <c r="L12" s="132"/>
      <c r="M12" s="132"/>
      <c r="N12" s="132"/>
      <c r="O12" s="79">
        <v>3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13</v>
      </c>
      <c r="F13" s="132" t="s">
        <v>694</v>
      </c>
      <c r="G13" s="132"/>
      <c r="H13" s="132"/>
      <c r="I13" s="132"/>
      <c r="J13" s="132"/>
      <c r="K13" s="132"/>
      <c r="L13" s="132"/>
      <c r="M13" s="132"/>
      <c r="N13" s="132"/>
      <c r="O13" s="80">
        <v>2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2</v>
      </c>
      <c r="F14" s="132" t="s">
        <v>695</v>
      </c>
      <c r="G14" s="132"/>
      <c r="H14" s="132"/>
      <c r="I14" s="132"/>
      <c r="J14" s="132"/>
      <c r="K14" s="132"/>
      <c r="L14" s="132"/>
      <c r="M14" s="132"/>
      <c r="N14" s="132"/>
      <c r="O14" s="79">
        <v>3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13</v>
      </c>
      <c r="F15" s="132" t="s">
        <v>696</v>
      </c>
      <c r="G15" s="132"/>
      <c r="H15" s="132"/>
      <c r="I15" s="132"/>
      <c r="J15" s="132"/>
      <c r="K15" s="132"/>
      <c r="L15" s="132"/>
      <c r="M15" s="132"/>
      <c r="N15" s="132"/>
      <c r="O15" s="79">
        <v>1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13</v>
      </c>
      <c r="F16" s="132" t="s">
        <v>697</v>
      </c>
      <c r="G16" s="132"/>
      <c r="H16" s="132"/>
      <c r="I16" s="132"/>
      <c r="J16" s="132"/>
      <c r="K16" s="132"/>
      <c r="L16" s="132"/>
      <c r="M16" s="132"/>
      <c r="N16" s="132"/>
      <c r="O16" s="80">
        <v>2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13</v>
      </c>
      <c r="F17" s="135" t="s">
        <v>698</v>
      </c>
      <c r="G17" s="132"/>
      <c r="H17" s="132"/>
      <c r="I17" s="132"/>
      <c r="J17" s="132"/>
      <c r="K17" s="132"/>
      <c r="L17" s="132"/>
      <c r="M17" s="132"/>
      <c r="N17" s="132"/>
      <c r="O17" s="80">
        <v>2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13</v>
      </c>
      <c r="F18" s="132" t="s">
        <v>699</v>
      </c>
      <c r="G18" s="132"/>
      <c r="H18" s="132"/>
      <c r="I18" s="132"/>
      <c r="J18" s="132"/>
      <c r="K18" s="132"/>
      <c r="L18" s="132"/>
      <c r="M18" s="132"/>
      <c r="N18" s="132"/>
      <c r="O18" s="80">
        <v>1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2</v>
      </c>
      <c r="F19" s="132" t="s">
        <v>700</v>
      </c>
      <c r="G19" s="132"/>
      <c r="H19" s="132"/>
      <c r="I19" s="132"/>
      <c r="J19" s="132"/>
      <c r="K19" s="132"/>
      <c r="L19" s="132"/>
      <c r="M19" s="132"/>
      <c r="N19" s="132"/>
      <c r="O19" s="80">
        <v>3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13</v>
      </c>
      <c r="F20" s="132" t="s">
        <v>701</v>
      </c>
      <c r="G20" s="132"/>
      <c r="H20" s="132"/>
      <c r="I20" s="132"/>
      <c r="J20" s="132"/>
      <c r="K20" s="132"/>
      <c r="L20" s="132"/>
      <c r="M20" s="132"/>
      <c r="N20" s="132"/>
      <c r="O20" s="79">
        <v>3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13</v>
      </c>
      <c r="F21" s="132" t="s">
        <v>702</v>
      </c>
      <c r="G21" s="132"/>
      <c r="H21" s="132"/>
      <c r="I21" s="132"/>
      <c r="J21" s="132"/>
      <c r="K21" s="132"/>
      <c r="L21" s="132"/>
      <c r="M21" s="132"/>
      <c r="N21" s="132"/>
      <c r="O21" s="80">
        <v>4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13</v>
      </c>
      <c r="F22" s="132" t="s">
        <v>703</v>
      </c>
      <c r="G22" s="132"/>
      <c r="H22" s="132"/>
      <c r="I22" s="132"/>
      <c r="J22" s="132"/>
      <c r="K22" s="132"/>
      <c r="L22" s="132"/>
      <c r="M22" s="132"/>
      <c r="N22" s="132"/>
      <c r="O22" s="80">
        <v>1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14</v>
      </c>
      <c r="E23" s="41" t="s">
        <v>13</v>
      </c>
      <c r="F23" s="132" t="s">
        <v>704</v>
      </c>
      <c r="G23" s="132"/>
      <c r="H23" s="132"/>
      <c r="I23" s="132"/>
      <c r="J23" s="132"/>
      <c r="K23" s="132"/>
      <c r="L23" s="132"/>
      <c r="M23" s="132"/>
      <c r="N23" s="132"/>
      <c r="O23" s="80">
        <v>3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14</v>
      </c>
      <c r="E24" s="41" t="s">
        <v>13</v>
      </c>
      <c r="F24" s="132" t="s">
        <v>705</v>
      </c>
      <c r="G24" s="132"/>
      <c r="H24" s="132"/>
      <c r="I24" s="132"/>
      <c r="J24" s="132"/>
      <c r="K24" s="132"/>
      <c r="L24" s="132"/>
      <c r="M24" s="132"/>
      <c r="N24" s="132"/>
      <c r="O24" s="80">
        <v>1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14</v>
      </c>
      <c r="E25" s="41" t="s">
        <v>13</v>
      </c>
      <c r="F25" s="132" t="s">
        <v>706</v>
      </c>
      <c r="G25" s="132"/>
      <c r="H25" s="132"/>
      <c r="I25" s="132"/>
      <c r="J25" s="132"/>
      <c r="K25" s="132"/>
      <c r="L25" s="132"/>
      <c r="M25" s="132"/>
      <c r="N25" s="132"/>
      <c r="O25" s="96">
        <v>1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14</v>
      </c>
      <c r="E26" s="41" t="s">
        <v>16</v>
      </c>
      <c r="F26" s="132" t="s">
        <v>180</v>
      </c>
      <c r="G26" s="133"/>
      <c r="H26" s="133"/>
      <c r="I26" s="133"/>
      <c r="J26" s="133"/>
      <c r="K26" s="133"/>
      <c r="L26" s="133"/>
      <c r="M26" s="133"/>
      <c r="N26" s="133"/>
      <c r="O26" s="80" t="s">
        <v>181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14</v>
      </c>
      <c r="E27" s="41" t="s">
        <v>16</v>
      </c>
      <c r="F27" s="135" t="s">
        <v>182</v>
      </c>
      <c r="G27" s="132"/>
      <c r="H27" s="132"/>
      <c r="I27" s="132"/>
      <c r="J27" s="132"/>
      <c r="K27" s="132"/>
      <c r="L27" s="132"/>
      <c r="M27" s="132"/>
      <c r="N27" s="132"/>
      <c r="O27" s="79" t="s">
        <v>183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14</v>
      </c>
      <c r="E28" s="41" t="s">
        <v>16</v>
      </c>
      <c r="F28" s="135" t="s">
        <v>184</v>
      </c>
      <c r="G28" s="132"/>
      <c r="H28" s="132"/>
      <c r="I28" s="132"/>
      <c r="J28" s="132"/>
      <c r="K28" s="132"/>
      <c r="L28" s="132"/>
      <c r="M28" s="132"/>
      <c r="N28" s="132"/>
      <c r="O28" s="80" t="s">
        <v>185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14</v>
      </c>
      <c r="E29" s="41" t="s">
        <v>16</v>
      </c>
      <c r="F29" s="132" t="s">
        <v>186</v>
      </c>
      <c r="G29" s="132"/>
      <c r="H29" s="132"/>
      <c r="I29" s="132"/>
      <c r="J29" s="132"/>
      <c r="K29" s="132"/>
      <c r="L29" s="132"/>
      <c r="M29" s="132"/>
      <c r="N29" s="132"/>
      <c r="O29" s="80" t="s">
        <v>176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14</v>
      </c>
      <c r="E30" s="41" t="s">
        <v>16</v>
      </c>
      <c r="F30" s="132" t="s">
        <v>187</v>
      </c>
      <c r="G30" s="132"/>
      <c r="H30" s="132"/>
      <c r="I30" s="132"/>
      <c r="J30" s="132"/>
      <c r="K30" s="132"/>
      <c r="L30" s="132"/>
      <c r="M30" s="132"/>
      <c r="N30" s="132"/>
      <c r="O30" s="79" t="s">
        <v>188</v>
      </c>
    </row>
    <row r="31" spans="2:15" s="10" customFormat="1" ht="207" customHeight="1" x14ac:dyDescent="0.3">
      <c r="B31" s="42">
        <v>26</v>
      </c>
      <c r="C31" s="41">
        <f t="shared" si="0"/>
        <v>2.5</v>
      </c>
      <c r="D31" s="66" t="s">
        <v>14</v>
      </c>
      <c r="E31" s="41" t="s">
        <v>25</v>
      </c>
      <c r="F31" s="132" t="s">
        <v>707</v>
      </c>
      <c r="G31" s="132"/>
      <c r="H31" s="132"/>
      <c r="I31" s="132"/>
      <c r="J31" s="132"/>
      <c r="K31" s="132"/>
      <c r="L31" s="132"/>
      <c r="M31" s="132"/>
      <c r="N31" s="132"/>
      <c r="O31" s="96">
        <v>3</v>
      </c>
    </row>
    <row r="32" spans="2:15" s="10" customFormat="1" ht="207" customHeight="1" x14ac:dyDescent="0.3">
      <c r="B32" s="42">
        <v>27</v>
      </c>
      <c r="C32" s="41">
        <f t="shared" si="0"/>
        <v>2.5</v>
      </c>
      <c r="D32" s="41" t="s">
        <v>14</v>
      </c>
      <c r="E32" s="41" t="s">
        <v>25</v>
      </c>
      <c r="F32" s="132" t="s">
        <v>708</v>
      </c>
      <c r="G32" s="132"/>
      <c r="H32" s="132"/>
      <c r="I32" s="132"/>
      <c r="J32" s="132"/>
      <c r="K32" s="132"/>
      <c r="L32" s="132"/>
      <c r="M32" s="132"/>
      <c r="N32" s="132"/>
      <c r="O32" s="80">
        <v>3</v>
      </c>
    </row>
    <row r="33" spans="2:15" s="10" customFormat="1" ht="250.5" customHeight="1" x14ac:dyDescent="0.3">
      <c r="B33" s="42">
        <v>28</v>
      </c>
      <c r="C33" s="41">
        <f t="shared" si="0"/>
        <v>4</v>
      </c>
      <c r="D33" s="41" t="s">
        <v>14</v>
      </c>
      <c r="E33" s="41" t="s">
        <v>2</v>
      </c>
      <c r="F33" s="132" t="s">
        <v>905</v>
      </c>
      <c r="G33" s="132"/>
      <c r="H33" s="132"/>
      <c r="I33" s="132"/>
      <c r="J33" s="132"/>
      <c r="K33" s="132"/>
      <c r="L33" s="132"/>
      <c r="M33" s="132"/>
      <c r="N33" s="132"/>
      <c r="O33" s="83">
        <v>1</v>
      </c>
    </row>
    <row r="34" spans="2:15" s="10" customFormat="1" ht="207" customHeight="1" x14ac:dyDescent="0.3">
      <c r="B34" s="42">
        <v>29</v>
      </c>
      <c r="C34" s="41">
        <f t="shared" si="0"/>
        <v>4</v>
      </c>
      <c r="D34" s="41" t="s">
        <v>14</v>
      </c>
      <c r="E34" s="41" t="s">
        <v>2</v>
      </c>
      <c r="F34" s="132" t="s">
        <v>709</v>
      </c>
      <c r="G34" s="132"/>
      <c r="H34" s="132"/>
      <c r="I34" s="132"/>
      <c r="J34" s="132"/>
      <c r="K34" s="132"/>
      <c r="L34" s="132"/>
      <c r="M34" s="132"/>
      <c r="N34" s="132"/>
      <c r="O34" s="83">
        <v>4</v>
      </c>
    </row>
    <row r="35" spans="2:15" s="10" customFormat="1" ht="207" customHeight="1" x14ac:dyDescent="0.3">
      <c r="B35" s="42">
        <v>30</v>
      </c>
      <c r="C35" s="41">
        <f t="shared" si="0"/>
        <v>4</v>
      </c>
      <c r="D35" s="41" t="s">
        <v>14</v>
      </c>
      <c r="E35" s="41" t="s">
        <v>2</v>
      </c>
      <c r="F35" s="132" t="s">
        <v>710</v>
      </c>
      <c r="G35" s="132"/>
      <c r="H35" s="132"/>
      <c r="I35" s="132"/>
      <c r="J35" s="132"/>
      <c r="K35" s="132"/>
      <c r="L35" s="132"/>
      <c r="M35" s="132"/>
      <c r="N35" s="132"/>
      <c r="O35" s="80">
        <v>4</v>
      </c>
    </row>
    <row r="36" spans="2:15" s="10" customFormat="1" ht="207" customHeight="1" x14ac:dyDescent="0.3">
      <c r="B36" s="42">
        <v>31</v>
      </c>
      <c r="C36" s="41">
        <f t="shared" si="0"/>
        <v>4</v>
      </c>
      <c r="D36" s="41" t="s">
        <v>14</v>
      </c>
      <c r="E36" s="41" t="s">
        <v>2</v>
      </c>
      <c r="F36" s="132" t="s">
        <v>711</v>
      </c>
      <c r="G36" s="132"/>
      <c r="H36" s="132"/>
      <c r="I36" s="132"/>
      <c r="J36" s="132"/>
      <c r="K36" s="132"/>
      <c r="L36" s="132"/>
      <c r="M36" s="132"/>
      <c r="N36" s="132"/>
      <c r="O36" s="83">
        <v>4</v>
      </c>
    </row>
    <row r="37" spans="2:15" s="10" customFormat="1" ht="207" customHeight="1" x14ac:dyDescent="0.3">
      <c r="B37" s="42">
        <v>32</v>
      </c>
      <c r="C37" s="41">
        <f t="shared" si="0"/>
        <v>4</v>
      </c>
      <c r="D37" s="41" t="s">
        <v>14</v>
      </c>
      <c r="E37" s="41" t="s">
        <v>2</v>
      </c>
      <c r="F37" s="132" t="s">
        <v>712</v>
      </c>
      <c r="G37" s="132"/>
      <c r="H37" s="132"/>
      <c r="I37" s="132"/>
      <c r="J37" s="132"/>
      <c r="K37" s="132"/>
      <c r="L37" s="132"/>
      <c r="M37" s="132"/>
      <c r="N37" s="132"/>
      <c r="O37" s="83">
        <v>4</v>
      </c>
    </row>
    <row r="38" spans="2:15" s="10" customFormat="1" ht="207" customHeight="1" x14ac:dyDescent="0.3">
      <c r="B38" s="42">
        <v>33</v>
      </c>
      <c r="C38" s="41">
        <f t="shared" si="0"/>
        <v>4</v>
      </c>
      <c r="D38" s="41" t="s">
        <v>14</v>
      </c>
      <c r="E38" s="41" t="s">
        <v>2</v>
      </c>
      <c r="F38" s="132" t="s">
        <v>906</v>
      </c>
      <c r="G38" s="132"/>
      <c r="H38" s="132"/>
      <c r="I38" s="132"/>
      <c r="J38" s="132"/>
      <c r="K38" s="132"/>
      <c r="L38" s="132"/>
      <c r="M38" s="132"/>
      <c r="N38" s="132"/>
      <c r="O38" s="83">
        <v>3</v>
      </c>
    </row>
    <row r="39" spans="2:15" s="10" customFormat="1" ht="207" customHeight="1" x14ac:dyDescent="0.3">
      <c r="B39" s="42">
        <v>34</v>
      </c>
      <c r="C39" s="41">
        <f t="shared" si="0"/>
        <v>4</v>
      </c>
      <c r="D39" s="41" t="s">
        <v>14</v>
      </c>
      <c r="E39" s="41" t="s">
        <v>2</v>
      </c>
      <c r="F39" s="132" t="s">
        <v>713</v>
      </c>
      <c r="G39" s="132"/>
      <c r="H39" s="132"/>
      <c r="I39" s="132"/>
      <c r="J39" s="132"/>
      <c r="K39" s="132"/>
      <c r="L39" s="132"/>
      <c r="M39" s="132"/>
      <c r="N39" s="132"/>
      <c r="O39" s="83">
        <v>3</v>
      </c>
    </row>
    <row r="40" spans="2:15" s="10" customFormat="1" ht="207" customHeight="1" x14ac:dyDescent="0.3">
      <c r="B40" s="42">
        <v>35</v>
      </c>
      <c r="C40" s="41">
        <f t="shared" si="0"/>
        <v>4</v>
      </c>
      <c r="D40" s="41" t="s">
        <v>14</v>
      </c>
      <c r="E40" s="41" t="s">
        <v>2</v>
      </c>
      <c r="F40" s="132" t="s">
        <v>907</v>
      </c>
      <c r="G40" s="132"/>
      <c r="H40" s="132"/>
      <c r="I40" s="132"/>
      <c r="J40" s="132"/>
      <c r="K40" s="132"/>
      <c r="L40" s="132"/>
      <c r="M40" s="132"/>
      <c r="N40" s="132"/>
      <c r="O40" s="83">
        <v>3</v>
      </c>
    </row>
    <row r="41" spans="2:15" s="10" customFormat="1" ht="207" customHeight="1" x14ac:dyDescent="0.3">
      <c r="B41" s="42">
        <v>36</v>
      </c>
      <c r="C41" s="41">
        <f t="shared" si="0"/>
        <v>4</v>
      </c>
      <c r="D41" s="41" t="s">
        <v>14</v>
      </c>
      <c r="E41" s="41" t="s">
        <v>2</v>
      </c>
      <c r="F41" s="132" t="s">
        <v>908</v>
      </c>
      <c r="G41" s="132"/>
      <c r="H41" s="132"/>
      <c r="I41" s="132"/>
      <c r="J41" s="132"/>
      <c r="K41" s="132"/>
      <c r="L41" s="132"/>
      <c r="M41" s="132"/>
      <c r="N41" s="132"/>
      <c r="O41" s="83">
        <v>1</v>
      </c>
    </row>
    <row r="42" spans="2:15" s="10" customFormat="1" ht="207" customHeight="1" x14ac:dyDescent="0.3">
      <c r="B42" s="42">
        <v>37</v>
      </c>
      <c r="C42" s="41">
        <f t="shared" si="0"/>
        <v>4</v>
      </c>
      <c r="D42" s="41" t="s">
        <v>14</v>
      </c>
      <c r="E42" s="41" t="s">
        <v>2</v>
      </c>
      <c r="F42" s="132" t="s">
        <v>909</v>
      </c>
      <c r="G42" s="132"/>
      <c r="H42" s="132"/>
      <c r="I42" s="132"/>
      <c r="J42" s="132"/>
      <c r="K42" s="132"/>
      <c r="L42" s="132"/>
      <c r="M42" s="132"/>
      <c r="N42" s="132"/>
      <c r="O42" s="83">
        <v>3</v>
      </c>
    </row>
    <row r="43" spans="2:15" s="10" customFormat="1" ht="207" customHeight="1" x14ac:dyDescent="0.3">
      <c r="B43" s="42">
        <v>38</v>
      </c>
      <c r="C43" s="41">
        <f t="shared" si="0"/>
        <v>4</v>
      </c>
      <c r="D43" s="41" t="s">
        <v>14</v>
      </c>
      <c r="E43" s="41" t="s">
        <v>2</v>
      </c>
      <c r="F43" s="132" t="s">
        <v>910</v>
      </c>
      <c r="G43" s="132"/>
      <c r="H43" s="132"/>
      <c r="I43" s="132"/>
      <c r="J43" s="132"/>
      <c r="K43" s="132"/>
      <c r="L43" s="132"/>
      <c r="M43" s="132"/>
      <c r="N43" s="132"/>
      <c r="O43" s="83">
        <v>3</v>
      </c>
    </row>
    <row r="44" spans="2:15" s="10" customFormat="1" ht="207" customHeight="1" x14ac:dyDescent="0.3">
      <c r="B44" s="42">
        <v>39</v>
      </c>
      <c r="C44" s="41">
        <f t="shared" si="0"/>
        <v>4</v>
      </c>
      <c r="D44" s="41" t="s">
        <v>14</v>
      </c>
      <c r="E44" s="41" t="s">
        <v>2</v>
      </c>
      <c r="F44" s="132" t="s">
        <v>911</v>
      </c>
      <c r="G44" s="132"/>
      <c r="H44" s="132"/>
      <c r="I44" s="132"/>
      <c r="J44" s="132"/>
      <c r="K44" s="132"/>
      <c r="L44" s="132"/>
      <c r="M44" s="132"/>
      <c r="N44" s="132"/>
      <c r="O44" s="83">
        <v>2</v>
      </c>
    </row>
    <row r="45" spans="2:15" s="10" customFormat="1" ht="207" customHeight="1" x14ac:dyDescent="0.3">
      <c r="B45" s="42">
        <v>40</v>
      </c>
      <c r="C45" s="41">
        <f t="shared" si="0"/>
        <v>5</v>
      </c>
      <c r="D45" s="41" t="s">
        <v>14</v>
      </c>
      <c r="E45" s="41" t="s">
        <v>3</v>
      </c>
      <c r="F45" s="132" t="s">
        <v>985</v>
      </c>
      <c r="G45" s="132"/>
      <c r="H45" s="132"/>
      <c r="I45" s="132"/>
      <c r="J45" s="132"/>
      <c r="K45" s="132"/>
      <c r="L45" s="132"/>
      <c r="M45" s="132"/>
      <c r="N45" s="132"/>
      <c r="O45" s="83">
        <v>6</v>
      </c>
    </row>
    <row r="46" spans="2:15" s="10" customFormat="1" ht="207" customHeight="1" x14ac:dyDescent="0.3">
      <c r="B46" s="42">
        <v>41</v>
      </c>
      <c r="C46" s="41">
        <f t="shared" si="0"/>
        <v>5</v>
      </c>
      <c r="D46" s="41" t="s">
        <v>14</v>
      </c>
      <c r="E46" s="41" t="s">
        <v>3</v>
      </c>
      <c r="F46" s="132" t="s">
        <v>986</v>
      </c>
      <c r="G46" s="132"/>
      <c r="H46" s="132"/>
      <c r="I46" s="132"/>
      <c r="J46" s="132"/>
      <c r="K46" s="132"/>
      <c r="L46" s="132"/>
      <c r="M46" s="132"/>
      <c r="N46" s="132"/>
      <c r="O46" s="83">
        <v>1</v>
      </c>
    </row>
    <row r="47" spans="2:15" s="10" customFormat="1" ht="207" customHeight="1" x14ac:dyDescent="0.3">
      <c r="B47" s="42">
        <v>42</v>
      </c>
      <c r="C47" s="41">
        <f t="shared" si="0"/>
        <v>5</v>
      </c>
      <c r="D47" s="41" t="s">
        <v>14</v>
      </c>
      <c r="E47" s="41" t="s">
        <v>3</v>
      </c>
      <c r="F47" s="132" t="s">
        <v>987</v>
      </c>
      <c r="G47" s="132"/>
      <c r="H47" s="132"/>
      <c r="I47" s="132"/>
      <c r="J47" s="132"/>
      <c r="K47" s="132"/>
      <c r="L47" s="132"/>
      <c r="M47" s="132"/>
      <c r="N47" s="132"/>
      <c r="O47" s="83">
        <v>0.04</v>
      </c>
    </row>
    <row r="48" spans="2:15" s="10" customFormat="1" ht="207" customHeight="1" x14ac:dyDescent="0.3">
      <c r="B48" s="42">
        <v>43</v>
      </c>
      <c r="C48" s="41">
        <f t="shared" si="0"/>
        <v>5</v>
      </c>
      <c r="D48" s="41" t="s">
        <v>14</v>
      </c>
      <c r="E48" s="41" t="s">
        <v>3</v>
      </c>
      <c r="F48" s="132" t="s">
        <v>988</v>
      </c>
      <c r="G48" s="132"/>
      <c r="H48" s="132"/>
      <c r="I48" s="132"/>
      <c r="J48" s="132"/>
      <c r="K48" s="132"/>
      <c r="L48" s="132"/>
      <c r="M48" s="132"/>
      <c r="N48" s="132"/>
      <c r="O48" s="83">
        <v>2</v>
      </c>
    </row>
    <row r="49" spans="2:15" s="10" customFormat="1" ht="207" customHeight="1" x14ac:dyDescent="0.3">
      <c r="B49" s="42">
        <v>44</v>
      </c>
      <c r="C49" s="41">
        <f t="shared" si="0"/>
        <v>5</v>
      </c>
      <c r="D49" s="41" t="s">
        <v>14</v>
      </c>
      <c r="E49" s="41" t="s">
        <v>3</v>
      </c>
      <c r="F49" s="132" t="s">
        <v>989</v>
      </c>
      <c r="G49" s="132"/>
      <c r="H49" s="132"/>
      <c r="I49" s="132"/>
      <c r="J49" s="132"/>
      <c r="K49" s="132"/>
      <c r="L49" s="132"/>
      <c r="M49" s="132"/>
      <c r="N49" s="132"/>
      <c r="O49" s="83">
        <v>1</v>
      </c>
    </row>
    <row r="50" spans="2:15" s="10" customFormat="1" ht="207" customHeight="1" x14ac:dyDescent="0.3">
      <c r="B50" s="42">
        <v>45</v>
      </c>
      <c r="C50" s="41">
        <f t="shared" si="0"/>
        <v>5</v>
      </c>
      <c r="D50" s="41" t="s">
        <v>14</v>
      </c>
      <c r="E50" s="41" t="s">
        <v>3</v>
      </c>
      <c r="F50" s="132" t="s">
        <v>990</v>
      </c>
      <c r="G50" s="132"/>
      <c r="H50" s="132"/>
      <c r="I50" s="132"/>
      <c r="J50" s="132"/>
      <c r="K50" s="132"/>
      <c r="L50" s="132"/>
      <c r="M50" s="132"/>
      <c r="N50" s="132"/>
      <c r="O50" s="83">
        <v>10</v>
      </c>
    </row>
  </sheetData>
  <mergeCells count="48"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38:N38"/>
    <mergeCell ref="F27:N27"/>
    <mergeCell ref="F28:N28"/>
    <mergeCell ref="F29:N29"/>
    <mergeCell ref="F30:N30"/>
    <mergeCell ref="F31:N31"/>
    <mergeCell ref="F32:N32"/>
    <mergeCell ref="F33:N33"/>
    <mergeCell ref="F34:N34"/>
    <mergeCell ref="F35:N35"/>
    <mergeCell ref="F36:N36"/>
    <mergeCell ref="F37:N37"/>
    <mergeCell ref="F50:N50"/>
    <mergeCell ref="F39:N39"/>
    <mergeCell ref="F40:N40"/>
    <mergeCell ref="F41:N41"/>
    <mergeCell ref="F42:N42"/>
    <mergeCell ref="F43:N43"/>
    <mergeCell ref="F44:N44"/>
    <mergeCell ref="F45:N45"/>
    <mergeCell ref="F46:N46"/>
    <mergeCell ref="F47:N47"/>
    <mergeCell ref="F48:N48"/>
    <mergeCell ref="F49:N4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5"/>
  <dimension ref="B2:O50"/>
  <sheetViews>
    <sheetView showGridLines="0" topLeftCell="A45" zoomScale="40" zoomScaleNormal="40" zoomScaleSheetLayoutView="55" workbookViewId="0">
      <selection activeCell="U49" sqref="U49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179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2"/>
      <c r="H4" s="62"/>
      <c r="I4" s="62"/>
      <c r="J4" s="62"/>
      <c r="K4" s="62"/>
      <c r="L4" s="62"/>
      <c r="M4" s="62"/>
      <c r="N4" s="62"/>
    </row>
    <row r="5" spans="2:15" ht="49.5" customHeight="1" x14ac:dyDescent="0.3">
      <c r="B5" s="36" t="s">
        <v>0</v>
      </c>
      <c r="C5" s="63" t="s">
        <v>20</v>
      </c>
      <c r="D5" s="63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52</v>
      </c>
      <c r="E6" s="41" t="s">
        <v>13</v>
      </c>
      <c r="F6" s="132" t="s">
        <v>714</v>
      </c>
      <c r="G6" s="132"/>
      <c r="H6" s="132"/>
      <c r="I6" s="132"/>
      <c r="J6" s="132"/>
      <c r="K6" s="132"/>
      <c r="L6" s="132"/>
      <c r="M6" s="132"/>
      <c r="N6" s="132"/>
      <c r="O6" s="80">
        <v>4</v>
      </c>
    </row>
    <row r="7" spans="2:15" s="10" customFormat="1" ht="206.25" customHeight="1" x14ac:dyDescent="0.3">
      <c r="B7" s="42">
        <v>2</v>
      </c>
      <c r="C7" s="41">
        <f t="shared" ref="C7:C50" si="0">IF(E7="공통",2.5,IF(E7="객관식",4,IF(E7="주관식",5,"")))</f>
        <v>4</v>
      </c>
      <c r="D7" s="41" t="s">
        <v>52</v>
      </c>
      <c r="E7" s="41" t="s">
        <v>13</v>
      </c>
      <c r="F7" s="132" t="s">
        <v>715</v>
      </c>
      <c r="G7" s="140"/>
      <c r="H7" s="140"/>
      <c r="I7" s="140"/>
      <c r="J7" s="140"/>
      <c r="K7" s="140"/>
      <c r="L7" s="140"/>
      <c r="M7" s="140"/>
      <c r="N7" s="141"/>
      <c r="O7" s="80">
        <v>3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52</v>
      </c>
      <c r="E8" s="41" t="s">
        <v>13</v>
      </c>
      <c r="F8" s="132" t="s">
        <v>716</v>
      </c>
      <c r="G8" s="132"/>
      <c r="H8" s="132"/>
      <c r="I8" s="132"/>
      <c r="J8" s="132"/>
      <c r="K8" s="132"/>
      <c r="L8" s="132"/>
      <c r="M8" s="132"/>
      <c r="N8" s="132"/>
      <c r="O8" s="80">
        <v>3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52</v>
      </c>
      <c r="E9" s="41" t="s">
        <v>13</v>
      </c>
      <c r="F9" s="132" t="s">
        <v>717</v>
      </c>
      <c r="G9" s="132"/>
      <c r="H9" s="132"/>
      <c r="I9" s="132"/>
      <c r="J9" s="132"/>
      <c r="K9" s="132"/>
      <c r="L9" s="132"/>
      <c r="M9" s="132"/>
      <c r="N9" s="132"/>
      <c r="O9" s="80">
        <v>3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52</v>
      </c>
      <c r="E10" s="41" t="s">
        <v>13</v>
      </c>
      <c r="F10" s="132" t="s">
        <v>718</v>
      </c>
      <c r="G10" s="132"/>
      <c r="H10" s="132"/>
      <c r="I10" s="132"/>
      <c r="J10" s="132"/>
      <c r="K10" s="132"/>
      <c r="L10" s="132"/>
      <c r="M10" s="132"/>
      <c r="N10" s="132"/>
      <c r="O10" s="80">
        <v>2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52</v>
      </c>
      <c r="E11" s="41" t="s">
        <v>13</v>
      </c>
      <c r="F11" s="132" t="s">
        <v>719</v>
      </c>
      <c r="G11" s="132"/>
      <c r="H11" s="132"/>
      <c r="I11" s="132"/>
      <c r="J11" s="132"/>
      <c r="K11" s="132"/>
      <c r="L11" s="132"/>
      <c r="M11" s="132"/>
      <c r="N11" s="132"/>
      <c r="O11" s="80">
        <v>3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52</v>
      </c>
      <c r="E12" s="41" t="s">
        <v>13</v>
      </c>
      <c r="F12" s="132" t="s">
        <v>706</v>
      </c>
      <c r="G12" s="132"/>
      <c r="H12" s="132"/>
      <c r="I12" s="132"/>
      <c r="J12" s="132"/>
      <c r="K12" s="132"/>
      <c r="L12" s="132"/>
      <c r="M12" s="132"/>
      <c r="N12" s="132"/>
      <c r="O12" s="80">
        <v>1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52</v>
      </c>
      <c r="E13" s="41" t="s">
        <v>13</v>
      </c>
      <c r="F13" s="132" t="s">
        <v>912</v>
      </c>
      <c r="G13" s="132"/>
      <c r="H13" s="132"/>
      <c r="I13" s="132"/>
      <c r="J13" s="132"/>
      <c r="K13" s="132"/>
      <c r="L13" s="132"/>
      <c r="M13" s="132"/>
      <c r="N13" s="132"/>
      <c r="O13" s="80">
        <v>1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52</v>
      </c>
      <c r="E14" s="41" t="s">
        <v>2</v>
      </c>
      <c r="F14" s="132" t="s">
        <v>704</v>
      </c>
      <c r="G14" s="132"/>
      <c r="H14" s="132"/>
      <c r="I14" s="132"/>
      <c r="J14" s="132"/>
      <c r="K14" s="132"/>
      <c r="L14" s="132"/>
      <c r="M14" s="132"/>
      <c r="N14" s="132"/>
      <c r="O14" s="79">
        <v>3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52</v>
      </c>
      <c r="E15" s="41" t="s">
        <v>13</v>
      </c>
      <c r="F15" s="132" t="s">
        <v>720</v>
      </c>
      <c r="G15" s="132"/>
      <c r="H15" s="132"/>
      <c r="I15" s="132"/>
      <c r="J15" s="132"/>
      <c r="K15" s="132"/>
      <c r="L15" s="132"/>
      <c r="M15" s="132"/>
      <c r="N15" s="132"/>
      <c r="O15" s="79">
        <v>1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52</v>
      </c>
      <c r="E16" s="41" t="s">
        <v>13</v>
      </c>
      <c r="F16" s="132" t="s">
        <v>409</v>
      </c>
      <c r="G16" s="132"/>
      <c r="H16" s="132"/>
      <c r="I16" s="132"/>
      <c r="J16" s="132"/>
      <c r="K16" s="132"/>
      <c r="L16" s="132"/>
      <c r="M16" s="132"/>
      <c r="N16" s="132"/>
      <c r="O16" s="80">
        <v>2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52</v>
      </c>
      <c r="E17" s="41" t="s">
        <v>13</v>
      </c>
      <c r="F17" s="135" t="s">
        <v>721</v>
      </c>
      <c r="G17" s="132"/>
      <c r="H17" s="132"/>
      <c r="I17" s="132"/>
      <c r="J17" s="132"/>
      <c r="K17" s="132"/>
      <c r="L17" s="132"/>
      <c r="M17" s="132"/>
      <c r="N17" s="132"/>
      <c r="O17" s="80">
        <v>3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52</v>
      </c>
      <c r="E18" s="41" t="s">
        <v>13</v>
      </c>
      <c r="F18" s="132" t="s">
        <v>722</v>
      </c>
      <c r="G18" s="132"/>
      <c r="H18" s="132"/>
      <c r="I18" s="132"/>
      <c r="J18" s="132"/>
      <c r="K18" s="132"/>
      <c r="L18" s="132"/>
      <c r="M18" s="132"/>
      <c r="N18" s="132"/>
      <c r="O18" s="80">
        <v>4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52</v>
      </c>
      <c r="E19" s="41" t="s">
        <v>2</v>
      </c>
      <c r="F19" s="132" t="s">
        <v>723</v>
      </c>
      <c r="G19" s="132"/>
      <c r="H19" s="132"/>
      <c r="I19" s="132"/>
      <c r="J19" s="132"/>
      <c r="K19" s="132"/>
      <c r="L19" s="132"/>
      <c r="M19" s="132"/>
      <c r="N19" s="132"/>
      <c r="O19" s="80">
        <v>3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52</v>
      </c>
      <c r="E20" s="41" t="s">
        <v>13</v>
      </c>
      <c r="F20" s="132" t="s">
        <v>724</v>
      </c>
      <c r="G20" s="132"/>
      <c r="H20" s="132"/>
      <c r="I20" s="132"/>
      <c r="J20" s="132"/>
      <c r="K20" s="132"/>
      <c r="L20" s="132"/>
      <c r="M20" s="132"/>
      <c r="N20" s="132"/>
      <c r="O20" s="79">
        <v>4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52</v>
      </c>
      <c r="E21" s="41" t="s">
        <v>13</v>
      </c>
      <c r="F21" s="132" t="s">
        <v>725</v>
      </c>
      <c r="G21" s="132"/>
      <c r="H21" s="132"/>
      <c r="I21" s="132"/>
      <c r="J21" s="132"/>
      <c r="K21" s="132"/>
      <c r="L21" s="132"/>
      <c r="M21" s="132"/>
      <c r="N21" s="132"/>
      <c r="O21" s="80">
        <v>3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52</v>
      </c>
      <c r="E22" s="41" t="s">
        <v>13</v>
      </c>
      <c r="F22" s="132" t="s">
        <v>726</v>
      </c>
      <c r="G22" s="132"/>
      <c r="H22" s="132"/>
      <c r="I22" s="132"/>
      <c r="J22" s="132"/>
      <c r="K22" s="132"/>
      <c r="L22" s="132"/>
      <c r="M22" s="132"/>
      <c r="N22" s="132"/>
      <c r="O22" s="80">
        <v>1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52</v>
      </c>
      <c r="E23" s="41" t="s">
        <v>13</v>
      </c>
      <c r="F23" s="132" t="s">
        <v>727</v>
      </c>
      <c r="G23" s="132"/>
      <c r="H23" s="132"/>
      <c r="I23" s="132"/>
      <c r="J23" s="132"/>
      <c r="K23" s="132"/>
      <c r="L23" s="132"/>
      <c r="M23" s="132"/>
      <c r="N23" s="132"/>
      <c r="O23" s="80">
        <v>2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52</v>
      </c>
      <c r="E24" s="41" t="s">
        <v>13</v>
      </c>
      <c r="F24" s="132" t="s">
        <v>728</v>
      </c>
      <c r="G24" s="132"/>
      <c r="H24" s="132"/>
      <c r="I24" s="132"/>
      <c r="J24" s="132"/>
      <c r="K24" s="132"/>
      <c r="L24" s="132"/>
      <c r="M24" s="132"/>
      <c r="N24" s="132"/>
      <c r="O24" s="80">
        <v>2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52</v>
      </c>
      <c r="E25" s="41" t="s">
        <v>13</v>
      </c>
      <c r="F25" s="132" t="s">
        <v>913</v>
      </c>
      <c r="G25" s="132"/>
      <c r="H25" s="132"/>
      <c r="I25" s="132"/>
      <c r="J25" s="132"/>
      <c r="K25" s="132"/>
      <c r="L25" s="132"/>
      <c r="M25" s="132"/>
      <c r="N25" s="132"/>
      <c r="O25" s="96">
        <v>1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52</v>
      </c>
      <c r="E26" s="41" t="s">
        <v>16</v>
      </c>
      <c r="F26" s="132" t="s">
        <v>171</v>
      </c>
      <c r="G26" s="133"/>
      <c r="H26" s="133"/>
      <c r="I26" s="133"/>
      <c r="J26" s="133"/>
      <c r="K26" s="133"/>
      <c r="L26" s="133"/>
      <c r="M26" s="133"/>
      <c r="N26" s="133"/>
      <c r="O26" s="80" t="s">
        <v>172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52</v>
      </c>
      <c r="E27" s="41" t="s">
        <v>16</v>
      </c>
      <c r="F27" s="135" t="s">
        <v>173</v>
      </c>
      <c r="G27" s="132"/>
      <c r="H27" s="132"/>
      <c r="I27" s="132"/>
      <c r="J27" s="132"/>
      <c r="K27" s="132"/>
      <c r="L27" s="132"/>
      <c r="M27" s="132"/>
      <c r="N27" s="132"/>
      <c r="O27" s="80" t="s">
        <v>174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52</v>
      </c>
      <c r="E28" s="41" t="s">
        <v>16</v>
      </c>
      <c r="F28" s="135" t="s">
        <v>175</v>
      </c>
      <c r="G28" s="132"/>
      <c r="H28" s="132"/>
      <c r="I28" s="132"/>
      <c r="J28" s="132"/>
      <c r="K28" s="132"/>
      <c r="L28" s="132"/>
      <c r="M28" s="132"/>
      <c r="N28" s="132"/>
      <c r="O28" s="80" t="s">
        <v>176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52</v>
      </c>
      <c r="E29" s="41" t="s">
        <v>16</v>
      </c>
      <c r="F29" s="132" t="s">
        <v>177</v>
      </c>
      <c r="G29" s="132"/>
      <c r="H29" s="132"/>
      <c r="I29" s="132"/>
      <c r="J29" s="132"/>
      <c r="K29" s="132"/>
      <c r="L29" s="132"/>
      <c r="M29" s="132"/>
      <c r="N29" s="132"/>
      <c r="O29" s="80" t="s">
        <v>178</v>
      </c>
    </row>
    <row r="30" spans="2:15" s="10" customFormat="1" ht="207" customHeight="1" x14ac:dyDescent="0.3">
      <c r="B30" s="42">
        <v>25</v>
      </c>
      <c r="C30" s="41">
        <f t="shared" si="0"/>
        <v>2.5</v>
      </c>
      <c r="D30" s="41" t="s">
        <v>52</v>
      </c>
      <c r="E30" s="41" t="s">
        <v>25</v>
      </c>
      <c r="F30" s="132" t="s">
        <v>948</v>
      </c>
      <c r="G30" s="132"/>
      <c r="H30" s="132"/>
      <c r="I30" s="132"/>
      <c r="J30" s="132"/>
      <c r="K30" s="132"/>
      <c r="L30" s="132"/>
      <c r="M30" s="132"/>
      <c r="N30" s="132"/>
      <c r="O30" s="79" t="s">
        <v>10</v>
      </c>
    </row>
    <row r="31" spans="2:15" s="10" customFormat="1" ht="207" customHeight="1" x14ac:dyDescent="0.3">
      <c r="B31" s="42">
        <v>26</v>
      </c>
      <c r="C31" s="41">
        <f t="shared" si="0"/>
        <v>2.5</v>
      </c>
      <c r="D31" s="66" t="s">
        <v>52</v>
      </c>
      <c r="E31" s="41" t="s">
        <v>25</v>
      </c>
      <c r="F31" s="132" t="s">
        <v>707</v>
      </c>
      <c r="G31" s="132"/>
      <c r="H31" s="132"/>
      <c r="I31" s="132"/>
      <c r="J31" s="132"/>
      <c r="K31" s="132"/>
      <c r="L31" s="132"/>
      <c r="M31" s="132"/>
      <c r="N31" s="132"/>
      <c r="O31" s="96">
        <v>3</v>
      </c>
    </row>
    <row r="32" spans="2:15" s="10" customFormat="1" ht="207" customHeight="1" x14ac:dyDescent="0.3">
      <c r="B32" s="42">
        <v>27</v>
      </c>
      <c r="C32" s="41">
        <f t="shared" si="0"/>
        <v>2.5</v>
      </c>
      <c r="D32" s="41" t="s">
        <v>52</v>
      </c>
      <c r="E32" s="41" t="s">
        <v>25</v>
      </c>
      <c r="F32" s="132" t="s">
        <v>708</v>
      </c>
      <c r="G32" s="132"/>
      <c r="H32" s="132"/>
      <c r="I32" s="132"/>
      <c r="J32" s="132"/>
      <c r="K32" s="132"/>
      <c r="L32" s="132"/>
      <c r="M32" s="132"/>
      <c r="N32" s="132"/>
      <c r="O32" s="80">
        <v>3</v>
      </c>
    </row>
    <row r="33" spans="2:15" s="10" customFormat="1" ht="261.75" customHeight="1" x14ac:dyDescent="0.3">
      <c r="B33" s="42">
        <v>28</v>
      </c>
      <c r="C33" s="41">
        <f t="shared" si="0"/>
        <v>4</v>
      </c>
      <c r="D33" s="41" t="s">
        <v>52</v>
      </c>
      <c r="E33" s="41" t="s">
        <v>2</v>
      </c>
      <c r="F33" s="132" t="s">
        <v>905</v>
      </c>
      <c r="G33" s="132"/>
      <c r="H33" s="132"/>
      <c r="I33" s="132"/>
      <c r="J33" s="132"/>
      <c r="K33" s="132"/>
      <c r="L33" s="132"/>
      <c r="M33" s="132"/>
      <c r="N33" s="132"/>
      <c r="O33" s="83">
        <v>1</v>
      </c>
    </row>
    <row r="34" spans="2:15" s="10" customFormat="1" ht="207" customHeight="1" x14ac:dyDescent="0.3">
      <c r="B34" s="42">
        <v>29</v>
      </c>
      <c r="C34" s="41">
        <f t="shared" si="0"/>
        <v>4</v>
      </c>
      <c r="D34" s="41" t="s">
        <v>52</v>
      </c>
      <c r="E34" s="41" t="s">
        <v>2</v>
      </c>
      <c r="F34" s="132" t="s">
        <v>709</v>
      </c>
      <c r="G34" s="132"/>
      <c r="H34" s="132"/>
      <c r="I34" s="132"/>
      <c r="J34" s="132"/>
      <c r="K34" s="132"/>
      <c r="L34" s="132"/>
      <c r="M34" s="132"/>
      <c r="N34" s="132"/>
      <c r="O34" s="83">
        <v>4</v>
      </c>
    </row>
    <row r="35" spans="2:15" s="10" customFormat="1" ht="207" customHeight="1" x14ac:dyDescent="0.3">
      <c r="B35" s="42">
        <v>30</v>
      </c>
      <c r="C35" s="41">
        <f t="shared" si="0"/>
        <v>4</v>
      </c>
      <c r="D35" s="41" t="s">
        <v>52</v>
      </c>
      <c r="E35" s="41" t="s">
        <v>2</v>
      </c>
      <c r="F35" s="132" t="s">
        <v>710</v>
      </c>
      <c r="G35" s="132"/>
      <c r="H35" s="132"/>
      <c r="I35" s="132"/>
      <c r="J35" s="132"/>
      <c r="K35" s="132"/>
      <c r="L35" s="132"/>
      <c r="M35" s="132"/>
      <c r="N35" s="132"/>
      <c r="O35" s="80">
        <v>4</v>
      </c>
    </row>
    <row r="36" spans="2:15" s="10" customFormat="1" ht="207" customHeight="1" x14ac:dyDescent="0.3">
      <c r="B36" s="42">
        <v>31</v>
      </c>
      <c r="C36" s="41">
        <f t="shared" si="0"/>
        <v>4</v>
      </c>
      <c r="D36" s="41" t="s">
        <v>52</v>
      </c>
      <c r="E36" s="41" t="s">
        <v>2</v>
      </c>
      <c r="F36" s="132" t="s">
        <v>711</v>
      </c>
      <c r="G36" s="132"/>
      <c r="H36" s="132"/>
      <c r="I36" s="132"/>
      <c r="J36" s="132"/>
      <c r="K36" s="132"/>
      <c r="L36" s="132"/>
      <c r="M36" s="132"/>
      <c r="N36" s="132"/>
      <c r="O36" s="83">
        <v>4</v>
      </c>
    </row>
    <row r="37" spans="2:15" s="10" customFormat="1" ht="207" customHeight="1" x14ac:dyDescent="0.3">
      <c r="B37" s="42">
        <v>32</v>
      </c>
      <c r="C37" s="41">
        <f t="shared" si="0"/>
        <v>4</v>
      </c>
      <c r="D37" s="41" t="s">
        <v>52</v>
      </c>
      <c r="E37" s="41" t="s">
        <v>2</v>
      </c>
      <c r="F37" s="132" t="s">
        <v>712</v>
      </c>
      <c r="G37" s="132"/>
      <c r="H37" s="132"/>
      <c r="I37" s="132"/>
      <c r="J37" s="132"/>
      <c r="K37" s="132"/>
      <c r="L37" s="132"/>
      <c r="M37" s="132"/>
      <c r="N37" s="132"/>
      <c r="O37" s="83">
        <v>4</v>
      </c>
    </row>
    <row r="38" spans="2:15" s="10" customFormat="1" ht="207" customHeight="1" x14ac:dyDescent="0.3">
      <c r="B38" s="42">
        <v>33</v>
      </c>
      <c r="C38" s="41">
        <f t="shared" si="0"/>
        <v>4</v>
      </c>
      <c r="D38" s="41" t="s">
        <v>52</v>
      </c>
      <c r="E38" s="41" t="s">
        <v>2</v>
      </c>
      <c r="F38" s="132" t="s">
        <v>906</v>
      </c>
      <c r="G38" s="132"/>
      <c r="H38" s="132"/>
      <c r="I38" s="132"/>
      <c r="J38" s="132"/>
      <c r="K38" s="132"/>
      <c r="L38" s="132"/>
      <c r="M38" s="132"/>
      <c r="N38" s="132"/>
      <c r="O38" s="83">
        <v>3</v>
      </c>
    </row>
    <row r="39" spans="2:15" s="10" customFormat="1" ht="207" customHeight="1" x14ac:dyDescent="0.3">
      <c r="B39" s="42">
        <v>34</v>
      </c>
      <c r="C39" s="41">
        <f t="shared" si="0"/>
        <v>4</v>
      </c>
      <c r="D39" s="41" t="s">
        <v>52</v>
      </c>
      <c r="E39" s="41" t="s">
        <v>2</v>
      </c>
      <c r="F39" s="132" t="s">
        <v>713</v>
      </c>
      <c r="G39" s="132"/>
      <c r="H39" s="132"/>
      <c r="I39" s="132"/>
      <c r="J39" s="132"/>
      <c r="K39" s="132"/>
      <c r="L39" s="132"/>
      <c r="M39" s="132"/>
      <c r="N39" s="132"/>
      <c r="O39" s="83">
        <v>3</v>
      </c>
    </row>
    <row r="40" spans="2:15" s="10" customFormat="1" ht="207" customHeight="1" x14ac:dyDescent="0.3">
      <c r="B40" s="42">
        <v>35</v>
      </c>
      <c r="C40" s="41">
        <f t="shared" si="0"/>
        <v>4</v>
      </c>
      <c r="D40" s="41" t="s">
        <v>52</v>
      </c>
      <c r="E40" s="41" t="s">
        <v>2</v>
      </c>
      <c r="F40" s="132" t="s">
        <v>907</v>
      </c>
      <c r="G40" s="132"/>
      <c r="H40" s="132"/>
      <c r="I40" s="132"/>
      <c r="J40" s="132"/>
      <c r="K40" s="132"/>
      <c r="L40" s="132"/>
      <c r="M40" s="132"/>
      <c r="N40" s="132"/>
      <c r="O40" s="83">
        <v>3</v>
      </c>
    </row>
    <row r="41" spans="2:15" s="10" customFormat="1" ht="207" customHeight="1" x14ac:dyDescent="0.3">
      <c r="B41" s="42">
        <v>36</v>
      </c>
      <c r="C41" s="41">
        <f t="shared" si="0"/>
        <v>4</v>
      </c>
      <c r="D41" s="41" t="s">
        <v>52</v>
      </c>
      <c r="E41" s="41" t="s">
        <v>2</v>
      </c>
      <c r="F41" s="132" t="s">
        <v>908</v>
      </c>
      <c r="G41" s="132"/>
      <c r="H41" s="132"/>
      <c r="I41" s="132"/>
      <c r="J41" s="132"/>
      <c r="K41" s="132"/>
      <c r="L41" s="132"/>
      <c r="M41" s="132"/>
      <c r="N41" s="132"/>
      <c r="O41" s="83">
        <v>1</v>
      </c>
    </row>
    <row r="42" spans="2:15" s="10" customFormat="1" ht="207" customHeight="1" x14ac:dyDescent="0.3">
      <c r="B42" s="42">
        <v>37</v>
      </c>
      <c r="C42" s="41">
        <f t="shared" si="0"/>
        <v>4</v>
      </c>
      <c r="D42" s="41" t="s">
        <v>52</v>
      </c>
      <c r="E42" s="41" t="s">
        <v>2</v>
      </c>
      <c r="F42" s="132" t="s">
        <v>909</v>
      </c>
      <c r="G42" s="132"/>
      <c r="H42" s="132"/>
      <c r="I42" s="132"/>
      <c r="J42" s="132"/>
      <c r="K42" s="132"/>
      <c r="L42" s="132"/>
      <c r="M42" s="132"/>
      <c r="N42" s="132"/>
      <c r="O42" s="83">
        <v>3</v>
      </c>
    </row>
    <row r="43" spans="2:15" s="10" customFormat="1" ht="207" customHeight="1" x14ac:dyDescent="0.3">
      <c r="B43" s="42">
        <v>38</v>
      </c>
      <c r="C43" s="41">
        <f t="shared" si="0"/>
        <v>4</v>
      </c>
      <c r="D43" s="41" t="s">
        <v>52</v>
      </c>
      <c r="E43" s="41" t="s">
        <v>2</v>
      </c>
      <c r="F43" s="132" t="s">
        <v>910</v>
      </c>
      <c r="G43" s="132"/>
      <c r="H43" s="132"/>
      <c r="I43" s="132"/>
      <c r="J43" s="132"/>
      <c r="K43" s="132"/>
      <c r="L43" s="132"/>
      <c r="M43" s="132"/>
      <c r="N43" s="132"/>
      <c r="O43" s="83">
        <v>3</v>
      </c>
    </row>
    <row r="44" spans="2:15" s="10" customFormat="1" ht="207" customHeight="1" x14ac:dyDescent="0.3">
      <c r="B44" s="42">
        <v>39</v>
      </c>
      <c r="C44" s="41">
        <f t="shared" si="0"/>
        <v>4</v>
      </c>
      <c r="D44" s="41" t="s">
        <v>52</v>
      </c>
      <c r="E44" s="41" t="s">
        <v>2</v>
      </c>
      <c r="F44" s="132" t="s">
        <v>911</v>
      </c>
      <c r="G44" s="132"/>
      <c r="H44" s="132"/>
      <c r="I44" s="132"/>
      <c r="J44" s="132"/>
      <c r="K44" s="132"/>
      <c r="L44" s="132"/>
      <c r="M44" s="132"/>
      <c r="N44" s="132"/>
      <c r="O44" s="83">
        <v>2</v>
      </c>
    </row>
    <row r="45" spans="2:15" s="10" customFormat="1" ht="207" customHeight="1" x14ac:dyDescent="0.3">
      <c r="B45" s="42">
        <v>40</v>
      </c>
      <c r="C45" s="41">
        <f t="shared" si="0"/>
        <v>5</v>
      </c>
      <c r="D45" s="41" t="s">
        <v>52</v>
      </c>
      <c r="E45" s="41" t="s">
        <v>3</v>
      </c>
      <c r="F45" s="132" t="s">
        <v>991</v>
      </c>
      <c r="G45" s="132"/>
      <c r="H45" s="132"/>
      <c r="I45" s="132"/>
      <c r="J45" s="132"/>
      <c r="K45" s="132"/>
      <c r="L45" s="132"/>
      <c r="M45" s="132"/>
      <c r="N45" s="132"/>
      <c r="O45" s="83">
        <v>6</v>
      </c>
    </row>
    <row r="46" spans="2:15" s="10" customFormat="1" ht="207" customHeight="1" x14ac:dyDescent="0.3">
      <c r="B46" s="42">
        <v>41</v>
      </c>
      <c r="C46" s="41">
        <f t="shared" si="0"/>
        <v>5</v>
      </c>
      <c r="D46" s="41" t="s">
        <v>52</v>
      </c>
      <c r="E46" s="41" t="s">
        <v>3</v>
      </c>
      <c r="F46" s="132" t="s">
        <v>992</v>
      </c>
      <c r="G46" s="132"/>
      <c r="H46" s="132"/>
      <c r="I46" s="132"/>
      <c r="J46" s="132"/>
      <c r="K46" s="132"/>
      <c r="L46" s="132"/>
      <c r="M46" s="132"/>
      <c r="N46" s="132"/>
      <c r="O46" s="83">
        <v>1</v>
      </c>
    </row>
    <row r="47" spans="2:15" s="10" customFormat="1" ht="207" customHeight="1" x14ac:dyDescent="0.3">
      <c r="B47" s="42">
        <v>42</v>
      </c>
      <c r="C47" s="41">
        <f t="shared" si="0"/>
        <v>5</v>
      </c>
      <c r="D47" s="41" t="s">
        <v>52</v>
      </c>
      <c r="E47" s="41" t="s">
        <v>3</v>
      </c>
      <c r="F47" s="132" t="s">
        <v>993</v>
      </c>
      <c r="G47" s="132"/>
      <c r="H47" s="132"/>
      <c r="I47" s="132"/>
      <c r="J47" s="132"/>
      <c r="K47" s="132"/>
      <c r="L47" s="132"/>
      <c r="M47" s="132"/>
      <c r="N47" s="132"/>
      <c r="O47" s="83">
        <v>0.04</v>
      </c>
    </row>
    <row r="48" spans="2:15" s="10" customFormat="1" ht="207" customHeight="1" x14ac:dyDescent="0.3">
      <c r="B48" s="42">
        <v>43</v>
      </c>
      <c r="C48" s="41">
        <f t="shared" si="0"/>
        <v>5</v>
      </c>
      <c r="D48" s="41" t="s">
        <v>52</v>
      </c>
      <c r="E48" s="41" t="s">
        <v>3</v>
      </c>
      <c r="F48" s="132" t="s">
        <v>994</v>
      </c>
      <c r="G48" s="132"/>
      <c r="H48" s="132"/>
      <c r="I48" s="132"/>
      <c r="J48" s="132"/>
      <c r="K48" s="132"/>
      <c r="L48" s="132"/>
      <c r="M48" s="132"/>
      <c r="N48" s="132"/>
      <c r="O48" s="83">
        <v>2</v>
      </c>
    </row>
    <row r="49" spans="2:15" s="10" customFormat="1" ht="207" customHeight="1" x14ac:dyDescent="0.3">
      <c r="B49" s="42">
        <v>44</v>
      </c>
      <c r="C49" s="41">
        <f t="shared" si="0"/>
        <v>5</v>
      </c>
      <c r="D49" s="41" t="s">
        <v>52</v>
      </c>
      <c r="E49" s="41" t="s">
        <v>3</v>
      </c>
      <c r="F49" s="132" t="s">
        <v>995</v>
      </c>
      <c r="G49" s="132"/>
      <c r="H49" s="132"/>
      <c r="I49" s="132"/>
      <c r="J49" s="132"/>
      <c r="K49" s="132"/>
      <c r="L49" s="132"/>
      <c r="M49" s="132"/>
      <c r="N49" s="132"/>
      <c r="O49" s="83">
        <v>1</v>
      </c>
    </row>
    <row r="50" spans="2:15" s="10" customFormat="1" ht="207" customHeight="1" x14ac:dyDescent="0.3">
      <c r="B50" s="42">
        <v>45</v>
      </c>
      <c r="C50" s="41">
        <f t="shared" si="0"/>
        <v>5</v>
      </c>
      <c r="D50" s="41" t="s">
        <v>52</v>
      </c>
      <c r="E50" s="41" t="s">
        <v>3</v>
      </c>
      <c r="F50" s="132" t="s">
        <v>996</v>
      </c>
      <c r="G50" s="132"/>
      <c r="H50" s="132"/>
      <c r="I50" s="132"/>
      <c r="J50" s="132"/>
      <c r="K50" s="132"/>
      <c r="L50" s="132"/>
      <c r="M50" s="132"/>
      <c r="N50" s="132"/>
      <c r="O50" s="83">
        <v>10</v>
      </c>
    </row>
  </sheetData>
  <mergeCells count="48"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38:N38"/>
    <mergeCell ref="F27:N27"/>
    <mergeCell ref="F28:N28"/>
    <mergeCell ref="F29:N29"/>
    <mergeCell ref="F30:N30"/>
    <mergeCell ref="F31:N31"/>
    <mergeCell ref="F32:N32"/>
    <mergeCell ref="F33:N33"/>
    <mergeCell ref="F34:N34"/>
    <mergeCell ref="F35:N35"/>
    <mergeCell ref="F36:N36"/>
    <mergeCell ref="F37:N37"/>
    <mergeCell ref="F50:N50"/>
    <mergeCell ref="F39:N39"/>
    <mergeCell ref="F40:N40"/>
    <mergeCell ref="F41:N41"/>
    <mergeCell ref="F42:N42"/>
    <mergeCell ref="F43:N43"/>
    <mergeCell ref="F44:N44"/>
    <mergeCell ref="F45:N45"/>
    <mergeCell ref="F46:N46"/>
    <mergeCell ref="F47:N47"/>
    <mergeCell ref="F48:N48"/>
    <mergeCell ref="F49:N4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7"/>
  <dimension ref="B2:O50"/>
  <sheetViews>
    <sheetView showGridLines="0" topLeftCell="A13" zoomScale="40" zoomScaleNormal="40" zoomScaleSheetLayoutView="55" workbookViewId="0">
      <selection activeCell="F16" sqref="F16:N16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189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2"/>
      <c r="H4" s="62"/>
      <c r="I4" s="62"/>
      <c r="J4" s="62"/>
      <c r="K4" s="62"/>
      <c r="L4" s="62"/>
      <c r="M4" s="62"/>
      <c r="N4" s="62"/>
    </row>
    <row r="5" spans="2:15" ht="49.5" customHeight="1" x14ac:dyDescent="0.3">
      <c r="B5" s="36" t="s">
        <v>0</v>
      </c>
      <c r="C5" s="63" t="s">
        <v>20</v>
      </c>
      <c r="D5" s="63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13</v>
      </c>
      <c r="F6" s="132" t="s">
        <v>614</v>
      </c>
      <c r="G6" s="132"/>
      <c r="H6" s="132"/>
      <c r="I6" s="132"/>
      <c r="J6" s="132"/>
      <c r="K6" s="132"/>
      <c r="L6" s="132"/>
      <c r="M6" s="132"/>
      <c r="N6" s="132"/>
      <c r="O6" s="80">
        <v>4</v>
      </c>
    </row>
    <row r="7" spans="2:15" s="10" customFormat="1" ht="206.25" customHeight="1" x14ac:dyDescent="0.3">
      <c r="B7" s="42">
        <v>2</v>
      </c>
      <c r="C7" s="41">
        <f t="shared" ref="C7:C50" si="0">IF(E7="공통",2.5,IF(E7="객관식",4,IF(E7="주관식",5,"")))</f>
        <v>4</v>
      </c>
      <c r="D7" s="41" t="s">
        <v>14</v>
      </c>
      <c r="E7" s="41" t="s">
        <v>13</v>
      </c>
      <c r="F7" s="132" t="s">
        <v>729</v>
      </c>
      <c r="G7" s="140"/>
      <c r="H7" s="140"/>
      <c r="I7" s="140"/>
      <c r="J7" s="140"/>
      <c r="K7" s="140"/>
      <c r="L7" s="140"/>
      <c r="M7" s="140"/>
      <c r="N7" s="141"/>
      <c r="O7" s="80">
        <v>2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14</v>
      </c>
      <c r="E8" s="41" t="s">
        <v>13</v>
      </c>
      <c r="F8" s="136" t="s">
        <v>730</v>
      </c>
      <c r="G8" s="137"/>
      <c r="H8" s="137"/>
      <c r="I8" s="137"/>
      <c r="J8" s="137"/>
      <c r="K8" s="137"/>
      <c r="L8" s="137"/>
      <c r="M8" s="137"/>
      <c r="N8" s="138"/>
      <c r="O8" s="80">
        <v>3</v>
      </c>
    </row>
    <row r="9" spans="2:15" s="10" customFormat="1" ht="351.75" customHeight="1" x14ac:dyDescent="0.3">
      <c r="B9" s="42">
        <v>4</v>
      </c>
      <c r="C9" s="41">
        <f t="shared" si="0"/>
        <v>4</v>
      </c>
      <c r="D9" s="41" t="s">
        <v>14</v>
      </c>
      <c r="E9" s="41" t="s">
        <v>13</v>
      </c>
      <c r="F9" s="132" t="s">
        <v>927</v>
      </c>
      <c r="G9" s="132"/>
      <c r="H9" s="132"/>
      <c r="I9" s="132"/>
      <c r="J9" s="132"/>
      <c r="K9" s="132"/>
      <c r="L9" s="132"/>
      <c r="M9" s="132"/>
      <c r="N9" s="132"/>
      <c r="O9" s="80">
        <v>3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13</v>
      </c>
      <c r="F10" s="132" t="s">
        <v>731</v>
      </c>
      <c r="G10" s="132"/>
      <c r="H10" s="132"/>
      <c r="I10" s="132"/>
      <c r="J10" s="132"/>
      <c r="K10" s="132"/>
      <c r="L10" s="132"/>
      <c r="M10" s="132"/>
      <c r="N10" s="132"/>
      <c r="O10" s="79">
        <v>1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14</v>
      </c>
      <c r="E11" s="41" t="s">
        <v>13</v>
      </c>
      <c r="F11" s="132" t="s">
        <v>732</v>
      </c>
      <c r="G11" s="132"/>
      <c r="H11" s="132"/>
      <c r="I11" s="132"/>
      <c r="J11" s="132"/>
      <c r="K11" s="132"/>
      <c r="L11" s="132"/>
      <c r="M11" s="132"/>
      <c r="N11" s="132"/>
      <c r="O11" s="80">
        <v>4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13</v>
      </c>
      <c r="F12" s="132" t="s">
        <v>733</v>
      </c>
      <c r="G12" s="132"/>
      <c r="H12" s="132"/>
      <c r="I12" s="132"/>
      <c r="J12" s="132"/>
      <c r="K12" s="132"/>
      <c r="L12" s="132"/>
      <c r="M12" s="132"/>
      <c r="N12" s="132"/>
      <c r="O12" s="80">
        <v>1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13</v>
      </c>
      <c r="F13" s="132" t="s">
        <v>734</v>
      </c>
      <c r="G13" s="132"/>
      <c r="H13" s="132"/>
      <c r="I13" s="132"/>
      <c r="J13" s="132"/>
      <c r="K13" s="132"/>
      <c r="L13" s="132"/>
      <c r="M13" s="132"/>
      <c r="N13" s="132"/>
      <c r="O13" s="80">
        <v>3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2</v>
      </c>
      <c r="F14" s="132" t="s">
        <v>735</v>
      </c>
      <c r="G14" s="132"/>
      <c r="H14" s="132"/>
      <c r="I14" s="132"/>
      <c r="J14" s="132"/>
      <c r="K14" s="132"/>
      <c r="L14" s="132"/>
      <c r="M14" s="132"/>
      <c r="N14" s="132"/>
      <c r="O14" s="80">
        <v>3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13</v>
      </c>
      <c r="F15" s="132" t="s">
        <v>736</v>
      </c>
      <c r="G15" s="132"/>
      <c r="H15" s="132"/>
      <c r="I15" s="132"/>
      <c r="J15" s="132"/>
      <c r="K15" s="132"/>
      <c r="L15" s="132"/>
      <c r="M15" s="132"/>
      <c r="N15" s="132"/>
      <c r="O15" s="80">
        <v>4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13</v>
      </c>
      <c r="F16" s="132" t="s">
        <v>737</v>
      </c>
      <c r="G16" s="132"/>
      <c r="H16" s="132"/>
      <c r="I16" s="132"/>
      <c r="J16" s="132"/>
      <c r="K16" s="132"/>
      <c r="L16" s="132"/>
      <c r="M16" s="132"/>
      <c r="N16" s="132"/>
      <c r="O16" s="80">
        <v>1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13</v>
      </c>
      <c r="F17" s="135" t="s">
        <v>738</v>
      </c>
      <c r="G17" s="132"/>
      <c r="H17" s="132"/>
      <c r="I17" s="132"/>
      <c r="J17" s="132"/>
      <c r="K17" s="132"/>
      <c r="L17" s="132"/>
      <c r="M17" s="132"/>
      <c r="N17" s="132"/>
      <c r="O17" s="80">
        <v>1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13</v>
      </c>
      <c r="F18" s="132" t="s">
        <v>739</v>
      </c>
      <c r="G18" s="132"/>
      <c r="H18" s="132"/>
      <c r="I18" s="132"/>
      <c r="J18" s="132"/>
      <c r="K18" s="132"/>
      <c r="L18" s="132"/>
      <c r="M18" s="132"/>
      <c r="N18" s="132"/>
      <c r="O18" s="80">
        <v>3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2</v>
      </c>
      <c r="F19" s="132" t="s">
        <v>740</v>
      </c>
      <c r="G19" s="132"/>
      <c r="H19" s="132"/>
      <c r="I19" s="132"/>
      <c r="J19" s="132"/>
      <c r="K19" s="132"/>
      <c r="L19" s="132"/>
      <c r="M19" s="132"/>
      <c r="N19" s="132"/>
      <c r="O19" s="80">
        <v>3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13</v>
      </c>
      <c r="F20" s="132" t="s">
        <v>741</v>
      </c>
      <c r="G20" s="132"/>
      <c r="H20" s="132"/>
      <c r="I20" s="132"/>
      <c r="J20" s="132"/>
      <c r="K20" s="132"/>
      <c r="L20" s="132"/>
      <c r="M20" s="132"/>
      <c r="N20" s="132"/>
      <c r="O20" s="79">
        <v>4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13</v>
      </c>
      <c r="F21" s="132" t="s">
        <v>742</v>
      </c>
      <c r="G21" s="132"/>
      <c r="H21" s="132"/>
      <c r="I21" s="132"/>
      <c r="J21" s="132"/>
      <c r="K21" s="132"/>
      <c r="L21" s="132"/>
      <c r="M21" s="132"/>
      <c r="N21" s="132"/>
      <c r="O21" s="80" t="s">
        <v>487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13</v>
      </c>
      <c r="F22" s="132" t="s">
        <v>743</v>
      </c>
      <c r="G22" s="132"/>
      <c r="H22" s="132"/>
      <c r="I22" s="132"/>
      <c r="J22" s="132"/>
      <c r="K22" s="132"/>
      <c r="L22" s="132"/>
      <c r="M22" s="132"/>
      <c r="N22" s="132"/>
      <c r="O22" s="80">
        <v>4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14</v>
      </c>
      <c r="E23" s="41" t="s">
        <v>13</v>
      </c>
      <c r="F23" s="132" t="s">
        <v>744</v>
      </c>
      <c r="G23" s="132"/>
      <c r="H23" s="132"/>
      <c r="I23" s="132"/>
      <c r="J23" s="132"/>
      <c r="K23" s="132"/>
      <c r="L23" s="132"/>
      <c r="M23" s="132"/>
      <c r="N23" s="132"/>
      <c r="O23" s="80">
        <v>1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14</v>
      </c>
      <c r="E24" s="41" t="s">
        <v>13</v>
      </c>
      <c r="F24" s="132" t="s">
        <v>760</v>
      </c>
      <c r="G24" s="132"/>
      <c r="H24" s="132"/>
      <c r="I24" s="132"/>
      <c r="J24" s="132"/>
      <c r="K24" s="132"/>
      <c r="L24" s="132"/>
      <c r="M24" s="132"/>
      <c r="N24" s="132"/>
      <c r="O24" s="80">
        <v>2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14</v>
      </c>
      <c r="E25" s="41" t="s">
        <v>13</v>
      </c>
      <c r="F25" s="132" t="s">
        <v>925</v>
      </c>
      <c r="G25" s="132"/>
      <c r="H25" s="132"/>
      <c r="I25" s="132"/>
      <c r="J25" s="132"/>
      <c r="K25" s="132"/>
      <c r="L25" s="132"/>
      <c r="M25" s="132"/>
      <c r="N25" s="132"/>
      <c r="O25" s="96">
        <v>4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14</v>
      </c>
      <c r="E26" s="41" t="s">
        <v>16</v>
      </c>
      <c r="F26" s="132" t="s">
        <v>190</v>
      </c>
      <c r="G26" s="133"/>
      <c r="H26" s="133"/>
      <c r="I26" s="133"/>
      <c r="J26" s="133"/>
      <c r="K26" s="133"/>
      <c r="L26" s="133"/>
      <c r="M26" s="133"/>
      <c r="N26" s="133"/>
      <c r="O26" s="80" t="s">
        <v>191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14</v>
      </c>
      <c r="E27" s="41" t="s">
        <v>16</v>
      </c>
      <c r="F27" s="135" t="s">
        <v>192</v>
      </c>
      <c r="G27" s="132"/>
      <c r="H27" s="132"/>
      <c r="I27" s="132"/>
      <c r="J27" s="132"/>
      <c r="K27" s="132"/>
      <c r="L27" s="132"/>
      <c r="M27" s="132"/>
      <c r="N27" s="132"/>
      <c r="O27" s="80" t="s">
        <v>193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14</v>
      </c>
      <c r="E28" s="41" t="s">
        <v>16</v>
      </c>
      <c r="F28" s="135" t="s">
        <v>194</v>
      </c>
      <c r="G28" s="132"/>
      <c r="H28" s="132"/>
      <c r="I28" s="132"/>
      <c r="J28" s="132"/>
      <c r="K28" s="132"/>
      <c r="L28" s="132"/>
      <c r="M28" s="132"/>
      <c r="N28" s="132"/>
      <c r="O28" s="80" t="s">
        <v>195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14</v>
      </c>
      <c r="E29" s="41" t="s">
        <v>16</v>
      </c>
      <c r="F29" s="132" t="s">
        <v>196</v>
      </c>
      <c r="G29" s="132"/>
      <c r="H29" s="132"/>
      <c r="I29" s="132"/>
      <c r="J29" s="132"/>
      <c r="K29" s="132"/>
      <c r="L29" s="132"/>
      <c r="M29" s="132"/>
      <c r="N29" s="132"/>
      <c r="O29" s="80" t="s">
        <v>197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14</v>
      </c>
      <c r="E30" s="41" t="s">
        <v>16</v>
      </c>
      <c r="F30" s="132" t="s">
        <v>997</v>
      </c>
      <c r="G30" s="132"/>
      <c r="H30" s="132"/>
      <c r="I30" s="132"/>
      <c r="J30" s="132"/>
      <c r="K30" s="132"/>
      <c r="L30" s="132"/>
      <c r="M30" s="132"/>
      <c r="N30" s="132"/>
      <c r="O30" s="79" t="s">
        <v>198</v>
      </c>
    </row>
    <row r="31" spans="2:15" s="10" customFormat="1" ht="207" customHeight="1" x14ac:dyDescent="0.3">
      <c r="B31" s="42">
        <v>26</v>
      </c>
      <c r="C31" s="41">
        <f t="shared" si="0"/>
        <v>2.5</v>
      </c>
      <c r="D31" s="66" t="s">
        <v>14</v>
      </c>
      <c r="E31" s="41" t="s">
        <v>25</v>
      </c>
      <c r="F31" s="132" t="s">
        <v>745</v>
      </c>
      <c r="G31" s="132"/>
      <c r="H31" s="132"/>
      <c r="I31" s="132"/>
      <c r="J31" s="132"/>
      <c r="K31" s="132"/>
      <c r="L31" s="132"/>
      <c r="M31" s="132"/>
      <c r="N31" s="132"/>
      <c r="O31" s="80">
        <v>3</v>
      </c>
    </row>
    <row r="32" spans="2:15" s="10" customFormat="1" ht="207" customHeight="1" x14ac:dyDescent="0.3">
      <c r="B32" s="42">
        <v>27</v>
      </c>
      <c r="C32" s="41">
        <f t="shared" si="0"/>
        <v>2.5</v>
      </c>
      <c r="D32" s="41" t="s">
        <v>14</v>
      </c>
      <c r="E32" s="41" t="s">
        <v>25</v>
      </c>
      <c r="F32" s="132" t="s">
        <v>746</v>
      </c>
      <c r="G32" s="132"/>
      <c r="H32" s="132"/>
      <c r="I32" s="132"/>
      <c r="J32" s="132"/>
      <c r="K32" s="132"/>
      <c r="L32" s="132"/>
      <c r="M32" s="132"/>
      <c r="N32" s="132"/>
      <c r="O32" s="80">
        <v>3</v>
      </c>
    </row>
    <row r="33" spans="2:15" s="10" customFormat="1" ht="207" customHeight="1" x14ac:dyDescent="0.3">
      <c r="B33" s="42">
        <v>28</v>
      </c>
      <c r="C33" s="41">
        <f t="shared" si="0"/>
        <v>4</v>
      </c>
      <c r="D33" s="41" t="s">
        <v>14</v>
      </c>
      <c r="E33" s="41" t="s">
        <v>2</v>
      </c>
      <c r="F33" s="132" t="s">
        <v>747</v>
      </c>
      <c r="G33" s="132"/>
      <c r="H33" s="132"/>
      <c r="I33" s="132"/>
      <c r="J33" s="132"/>
      <c r="K33" s="132"/>
      <c r="L33" s="132"/>
      <c r="M33" s="132"/>
      <c r="N33" s="132"/>
      <c r="O33" s="80">
        <v>3</v>
      </c>
    </row>
    <row r="34" spans="2:15" s="10" customFormat="1" ht="207" customHeight="1" x14ac:dyDescent="0.3">
      <c r="B34" s="42">
        <v>29</v>
      </c>
      <c r="C34" s="41">
        <f t="shared" si="0"/>
        <v>4</v>
      </c>
      <c r="D34" s="41" t="s">
        <v>14</v>
      </c>
      <c r="E34" s="41" t="s">
        <v>2</v>
      </c>
      <c r="F34" s="132" t="s">
        <v>748</v>
      </c>
      <c r="G34" s="132"/>
      <c r="H34" s="132"/>
      <c r="I34" s="132"/>
      <c r="J34" s="132"/>
      <c r="K34" s="132"/>
      <c r="L34" s="132"/>
      <c r="M34" s="132"/>
      <c r="N34" s="132"/>
      <c r="O34" s="80">
        <v>2</v>
      </c>
    </row>
    <row r="35" spans="2:15" s="10" customFormat="1" ht="207" customHeight="1" x14ac:dyDescent="0.3">
      <c r="B35" s="42">
        <v>30</v>
      </c>
      <c r="C35" s="41">
        <f t="shared" si="0"/>
        <v>4</v>
      </c>
      <c r="D35" s="41" t="s">
        <v>14</v>
      </c>
      <c r="E35" s="41" t="s">
        <v>2</v>
      </c>
      <c r="F35" s="132" t="s">
        <v>749</v>
      </c>
      <c r="G35" s="132"/>
      <c r="H35" s="132"/>
      <c r="I35" s="132"/>
      <c r="J35" s="132"/>
      <c r="K35" s="132"/>
      <c r="L35" s="132"/>
      <c r="M35" s="132"/>
      <c r="N35" s="132"/>
      <c r="O35" s="80">
        <v>4</v>
      </c>
    </row>
    <row r="36" spans="2:15" s="10" customFormat="1" ht="207" customHeight="1" x14ac:dyDescent="0.3">
      <c r="B36" s="42">
        <v>31</v>
      </c>
      <c r="C36" s="41">
        <f t="shared" si="0"/>
        <v>4</v>
      </c>
      <c r="D36" s="41" t="s">
        <v>14</v>
      </c>
      <c r="E36" s="41" t="s">
        <v>2</v>
      </c>
      <c r="F36" s="132" t="s">
        <v>926</v>
      </c>
      <c r="G36" s="132"/>
      <c r="H36" s="132"/>
      <c r="I36" s="132"/>
      <c r="J36" s="132"/>
      <c r="K36" s="132"/>
      <c r="L36" s="132"/>
      <c r="M36" s="132"/>
      <c r="N36" s="132"/>
      <c r="O36" s="80">
        <v>3</v>
      </c>
    </row>
    <row r="37" spans="2:15" s="10" customFormat="1" ht="207" customHeight="1" x14ac:dyDescent="0.3">
      <c r="B37" s="42">
        <v>32</v>
      </c>
      <c r="C37" s="41">
        <f t="shared" si="0"/>
        <v>4</v>
      </c>
      <c r="D37" s="41" t="s">
        <v>14</v>
      </c>
      <c r="E37" s="41" t="s">
        <v>2</v>
      </c>
      <c r="F37" s="132" t="s">
        <v>750</v>
      </c>
      <c r="G37" s="132"/>
      <c r="H37" s="132"/>
      <c r="I37" s="132"/>
      <c r="J37" s="132"/>
      <c r="K37" s="132"/>
      <c r="L37" s="132"/>
      <c r="M37" s="132"/>
      <c r="N37" s="132"/>
      <c r="O37" s="83">
        <v>1</v>
      </c>
    </row>
    <row r="38" spans="2:15" s="10" customFormat="1" ht="207" customHeight="1" x14ac:dyDescent="0.3">
      <c r="B38" s="42">
        <v>33</v>
      </c>
      <c r="C38" s="41">
        <f t="shared" si="0"/>
        <v>4</v>
      </c>
      <c r="D38" s="41" t="s">
        <v>14</v>
      </c>
      <c r="E38" s="41" t="s">
        <v>2</v>
      </c>
      <c r="F38" s="132" t="s">
        <v>751</v>
      </c>
      <c r="G38" s="132"/>
      <c r="H38" s="132"/>
      <c r="I38" s="132"/>
      <c r="J38" s="132"/>
      <c r="K38" s="132"/>
      <c r="L38" s="132"/>
      <c r="M38" s="132"/>
      <c r="N38" s="132"/>
      <c r="O38" s="80">
        <v>2</v>
      </c>
    </row>
    <row r="39" spans="2:15" s="10" customFormat="1" ht="207" customHeight="1" x14ac:dyDescent="0.3">
      <c r="B39" s="42">
        <v>34</v>
      </c>
      <c r="C39" s="41">
        <f t="shared" si="0"/>
        <v>4</v>
      </c>
      <c r="D39" s="41" t="s">
        <v>14</v>
      </c>
      <c r="E39" s="41" t="s">
        <v>2</v>
      </c>
      <c r="F39" s="132" t="s">
        <v>752</v>
      </c>
      <c r="G39" s="132"/>
      <c r="H39" s="132"/>
      <c r="I39" s="132"/>
      <c r="J39" s="132"/>
      <c r="K39" s="132"/>
      <c r="L39" s="132"/>
      <c r="M39" s="132"/>
      <c r="N39" s="132"/>
      <c r="O39" s="80">
        <v>2</v>
      </c>
    </row>
    <row r="40" spans="2:15" s="10" customFormat="1" ht="207" customHeight="1" x14ac:dyDescent="0.3">
      <c r="B40" s="42">
        <v>35</v>
      </c>
      <c r="C40" s="41">
        <f t="shared" si="0"/>
        <v>4</v>
      </c>
      <c r="D40" s="41" t="s">
        <v>14</v>
      </c>
      <c r="E40" s="41" t="s">
        <v>2</v>
      </c>
      <c r="F40" s="132" t="s">
        <v>753</v>
      </c>
      <c r="G40" s="132"/>
      <c r="H40" s="132"/>
      <c r="I40" s="132"/>
      <c r="J40" s="132"/>
      <c r="K40" s="132"/>
      <c r="L40" s="132"/>
      <c r="M40" s="132"/>
      <c r="N40" s="132"/>
      <c r="O40" s="80">
        <v>1</v>
      </c>
    </row>
    <row r="41" spans="2:15" s="10" customFormat="1" ht="207" customHeight="1" x14ac:dyDescent="0.3">
      <c r="B41" s="42">
        <v>36</v>
      </c>
      <c r="C41" s="41">
        <f t="shared" si="0"/>
        <v>4</v>
      </c>
      <c r="D41" s="41" t="s">
        <v>14</v>
      </c>
      <c r="E41" s="41" t="s">
        <v>2</v>
      </c>
      <c r="F41" s="132" t="s">
        <v>754</v>
      </c>
      <c r="G41" s="132"/>
      <c r="H41" s="132"/>
      <c r="I41" s="132"/>
      <c r="J41" s="132"/>
      <c r="K41" s="132"/>
      <c r="L41" s="132"/>
      <c r="M41" s="132"/>
      <c r="N41" s="132"/>
      <c r="O41" s="80">
        <v>4</v>
      </c>
    </row>
    <row r="42" spans="2:15" s="10" customFormat="1" ht="207" customHeight="1" x14ac:dyDescent="0.3">
      <c r="B42" s="42">
        <v>37</v>
      </c>
      <c r="C42" s="41">
        <f t="shared" si="0"/>
        <v>4</v>
      </c>
      <c r="D42" s="41" t="s">
        <v>14</v>
      </c>
      <c r="E42" s="41" t="s">
        <v>2</v>
      </c>
      <c r="F42" s="132" t="s">
        <v>755</v>
      </c>
      <c r="G42" s="132"/>
      <c r="H42" s="132"/>
      <c r="I42" s="132"/>
      <c r="J42" s="132"/>
      <c r="K42" s="132"/>
      <c r="L42" s="132"/>
      <c r="M42" s="132"/>
      <c r="N42" s="132"/>
      <c r="O42" s="80">
        <v>1</v>
      </c>
    </row>
    <row r="43" spans="2:15" s="10" customFormat="1" ht="207" customHeight="1" x14ac:dyDescent="0.3">
      <c r="B43" s="42">
        <v>38</v>
      </c>
      <c r="C43" s="41">
        <f t="shared" si="0"/>
        <v>4</v>
      </c>
      <c r="D43" s="41" t="s">
        <v>14</v>
      </c>
      <c r="E43" s="41" t="s">
        <v>2</v>
      </c>
      <c r="F43" s="132" t="s">
        <v>924</v>
      </c>
      <c r="G43" s="132"/>
      <c r="H43" s="132"/>
      <c r="I43" s="132"/>
      <c r="J43" s="132"/>
      <c r="K43" s="132"/>
      <c r="L43" s="132"/>
      <c r="M43" s="132"/>
      <c r="N43" s="132"/>
      <c r="O43" s="80">
        <v>3</v>
      </c>
    </row>
    <row r="44" spans="2:15" s="10" customFormat="1" ht="207" customHeight="1" x14ac:dyDescent="0.3">
      <c r="B44" s="42">
        <v>39</v>
      </c>
      <c r="C44" s="41">
        <f t="shared" si="0"/>
        <v>4</v>
      </c>
      <c r="D44" s="41" t="s">
        <v>14</v>
      </c>
      <c r="E44" s="41" t="s">
        <v>2</v>
      </c>
      <c r="F44" s="132" t="s">
        <v>756</v>
      </c>
      <c r="G44" s="132"/>
      <c r="H44" s="132"/>
      <c r="I44" s="132"/>
      <c r="J44" s="132"/>
      <c r="K44" s="132"/>
      <c r="L44" s="132"/>
      <c r="M44" s="132"/>
      <c r="N44" s="132"/>
      <c r="O44" s="80">
        <v>4</v>
      </c>
    </row>
    <row r="45" spans="2:15" s="10" customFormat="1" ht="207" customHeight="1" x14ac:dyDescent="0.3">
      <c r="B45" s="42">
        <v>40</v>
      </c>
      <c r="C45" s="41">
        <f t="shared" si="0"/>
        <v>4</v>
      </c>
      <c r="D45" s="41" t="s">
        <v>14</v>
      </c>
      <c r="E45" s="41" t="s">
        <v>2</v>
      </c>
      <c r="F45" s="132" t="s">
        <v>757</v>
      </c>
      <c r="G45" s="132"/>
      <c r="H45" s="132"/>
      <c r="I45" s="132"/>
      <c r="J45" s="132"/>
      <c r="K45" s="132"/>
      <c r="L45" s="132"/>
      <c r="M45" s="132"/>
      <c r="N45" s="132"/>
      <c r="O45" s="80">
        <v>2</v>
      </c>
    </row>
    <row r="46" spans="2:15" s="10" customFormat="1" ht="207" customHeight="1" x14ac:dyDescent="0.3">
      <c r="B46" s="42">
        <v>41</v>
      </c>
      <c r="C46" s="41">
        <f t="shared" si="0"/>
        <v>4</v>
      </c>
      <c r="D46" s="41" t="s">
        <v>14</v>
      </c>
      <c r="E46" s="41" t="s">
        <v>2</v>
      </c>
      <c r="F46" s="132" t="s">
        <v>758</v>
      </c>
      <c r="G46" s="132"/>
      <c r="H46" s="132"/>
      <c r="I46" s="132"/>
      <c r="J46" s="132"/>
      <c r="K46" s="132"/>
      <c r="L46" s="132"/>
      <c r="M46" s="132"/>
      <c r="N46" s="132"/>
      <c r="O46" s="80">
        <v>1</v>
      </c>
    </row>
    <row r="47" spans="2:15" s="10" customFormat="1" ht="207" customHeight="1" x14ac:dyDescent="0.3">
      <c r="B47" s="42">
        <v>42</v>
      </c>
      <c r="C47" s="41">
        <f t="shared" si="0"/>
        <v>4</v>
      </c>
      <c r="D47" s="41" t="s">
        <v>14</v>
      </c>
      <c r="E47" s="41" t="s">
        <v>2</v>
      </c>
      <c r="F47" s="132" t="s">
        <v>759</v>
      </c>
      <c r="G47" s="132"/>
      <c r="H47" s="132"/>
      <c r="I47" s="132"/>
      <c r="J47" s="132"/>
      <c r="K47" s="132"/>
      <c r="L47" s="132"/>
      <c r="M47" s="132"/>
      <c r="N47" s="132"/>
      <c r="O47" s="80">
        <v>1</v>
      </c>
    </row>
    <row r="48" spans="2:15" s="10" customFormat="1" ht="207" customHeight="1" x14ac:dyDescent="0.3">
      <c r="B48" s="42">
        <v>43</v>
      </c>
      <c r="C48" s="41">
        <f t="shared" si="0"/>
        <v>5</v>
      </c>
      <c r="D48" s="41" t="s">
        <v>14</v>
      </c>
      <c r="E48" s="41" t="s">
        <v>3</v>
      </c>
      <c r="F48" s="132" t="s">
        <v>269</v>
      </c>
      <c r="G48" s="132"/>
      <c r="H48" s="132"/>
      <c r="I48" s="132"/>
      <c r="J48" s="132"/>
      <c r="K48" s="132"/>
      <c r="L48" s="132"/>
      <c r="M48" s="132"/>
      <c r="N48" s="132"/>
      <c r="O48" s="80" t="s">
        <v>270</v>
      </c>
    </row>
    <row r="49" spans="2:15" s="10" customFormat="1" ht="207" customHeight="1" x14ac:dyDescent="0.3">
      <c r="B49" s="42">
        <v>44</v>
      </c>
      <c r="C49" s="41">
        <f t="shared" si="0"/>
        <v>5</v>
      </c>
      <c r="D49" s="41" t="s">
        <v>14</v>
      </c>
      <c r="E49" s="41" t="s">
        <v>3</v>
      </c>
      <c r="F49" s="132" t="s">
        <v>271</v>
      </c>
      <c r="G49" s="132"/>
      <c r="H49" s="132"/>
      <c r="I49" s="132"/>
      <c r="J49" s="132"/>
      <c r="K49" s="132"/>
      <c r="L49" s="132"/>
      <c r="M49" s="132"/>
      <c r="N49" s="132"/>
      <c r="O49" s="80">
        <v>1</v>
      </c>
    </row>
    <row r="50" spans="2:15" s="10" customFormat="1" ht="207" customHeight="1" x14ac:dyDescent="0.3">
      <c r="B50" s="42">
        <v>45</v>
      </c>
      <c r="C50" s="41">
        <f t="shared" si="0"/>
        <v>5</v>
      </c>
      <c r="D50" s="41" t="s">
        <v>14</v>
      </c>
      <c r="E50" s="41" t="s">
        <v>3</v>
      </c>
      <c r="F50" s="132" t="s">
        <v>272</v>
      </c>
      <c r="G50" s="132"/>
      <c r="H50" s="132"/>
      <c r="I50" s="132"/>
      <c r="J50" s="132"/>
      <c r="K50" s="132"/>
      <c r="L50" s="132"/>
      <c r="M50" s="132"/>
      <c r="N50" s="132"/>
      <c r="O50" s="80" t="s">
        <v>273</v>
      </c>
    </row>
  </sheetData>
  <mergeCells count="48">
    <mergeCell ref="B3:O3"/>
    <mergeCell ref="C4:F4"/>
    <mergeCell ref="F5:N5"/>
    <mergeCell ref="F6:N6"/>
    <mergeCell ref="F7:N7"/>
    <mergeCell ref="F20:N20"/>
    <mergeCell ref="F9:N9"/>
    <mergeCell ref="F10:N10"/>
    <mergeCell ref="F11:N11"/>
    <mergeCell ref="F12:N12"/>
    <mergeCell ref="F13:N13"/>
    <mergeCell ref="F14:N14"/>
    <mergeCell ref="F15:N15"/>
    <mergeCell ref="F16:N16"/>
    <mergeCell ref="F17:N17"/>
    <mergeCell ref="F18:N18"/>
    <mergeCell ref="F19:N19"/>
    <mergeCell ref="F32:N32"/>
    <mergeCell ref="F21:N21"/>
    <mergeCell ref="F22:N22"/>
    <mergeCell ref="F23:N23"/>
    <mergeCell ref="F24:N24"/>
    <mergeCell ref="F25:N25"/>
    <mergeCell ref="F26:N26"/>
    <mergeCell ref="F49:N49"/>
    <mergeCell ref="F50:N50"/>
    <mergeCell ref="F39:N39"/>
    <mergeCell ref="F40:N40"/>
    <mergeCell ref="F41:N41"/>
    <mergeCell ref="F42:N42"/>
    <mergeCell ref="F43:N43"/>
    <mergeCell ref="F44:N44"/>
    <mergeCell ref="F8:N8"/>
    <mergeCell ref="F45:N45"/>
    <mergeCell ref="F46:N46"/>
    <mergeCell ref="F47:N47"/>
    <mergeCell ref="F48:N48"/>
    <mergeCell ref="F33:N33"/>
    <mergeCell ref="F34:N34"/>
    <mergeCell ref="F35:N35"/>
    <mergeCell ref="F36:N36"/>
    <mergeCell ref="F37:N37"/>
    <mergeCell ref="F38:N38"/>
    <mergeCell ref="F27:N27"/>
    <mergeCell ref="F28:N28"/>
    <mergeCell ref="F29:N29"/>
    <mergeCell ref="F30:N30"/>
    <mergeCell ref="F31:N3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8"/>
  <dimension ref="B2:O50"/>
  <sheetViews>
    <sheetView showGridLines="0" topLeftCell="A14" zoomScale="40" zoomScaleNormal="40" zoomScaleSheetLayoutView="55" workbookViewId="0">
      <selection activeCell="R17" sqref="R17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199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2"/>
      <c r="H4" s="62"/>
      <c r="I4" s="62"/>
      <c r="J4" s="62"/>
      <c r="K4" s="62"/>
      <c r="L4" s="62"/>
      <c r="M4" s="62"/>
      <c r="N4" s="62"/>
    </row>
    <row r="5" spans="2:15" ht="49.5" customHeight="1" x14ac:dyDescent="0.3">
      <c r="B5" s="36" t="s">
        <v>0</v>
      </c>
      <c r="C5" s="63" t="s">
        <v>20</v>
      </c>
      <c r="D5" s="63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52</v>
      </c>
      <c r="E6" s="41" t="s">
        <v>13</v>
      </c>
      <c r="F6" s="132" t="s">
        <v>762</v>
      </c>
      <c r="G6" s="132"/>
      <c r="H6" s="132"/>
      <c r="I6" s="132"/>
      <c r="J6" s="132"/>
      <c r="K6" s="132"/>
      <c r="L6" s="132"/>
      <c r="M6" s="132"/>
      <c r="N6" s="132"/>
      <c r="O6" s="80">
        <v>4</v>
      </c>
    </row>
    <row r="7" spans="2:15" s="10" customFormat="1" ht="206.25" customHeight="1" x14ac:dyDescent="0.3">
      <c r="B7" s="42">
        <v>2</v>
      </c>
      <c r="C7" s="41">
        <f t="shared" ref="C7:C50" si="0">IF(E7="공통",2.5,IF(E7="객관식",4,IF(E7="주관식",5,"")))</f>
        <v>4</v>
      </c>
      <c r="D7" s="41" t="s">
        <v>52</v>
      </c>
      <c r="E7" s="41" t="s">
        <v>13</v>
      </c>
      <c r="F7" s="132" t="s">
        <v>761</v>
      </c>
      <c r="G7" s="140"/>
      <c r="H7" s="140"/>
      <c r="I7" s="140"/>
      <c r="J7" s="140"/>
      <c r="K7" s="140"/>
      <c r="L7" s="140"/>
      <c r="M7" s="140"/>
      <c r="N7" s="141"/>
      <c r="O7" s="80">
        <v>1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52</v>
      </c>
      <c r="E8" s="41" t="s">
        <v>13</v>
      </c>
      <c r="F8" s="136" t="s">
        <v>763</v>
      </c>
      <c r="G8" s="137"/>
      <c r="H8" s="137"/>
      <c r="I8" s="137"/>
      <c r="J8" s="137"/>
      <c r="K8" s="137"/>
      <c r="L8" s="137"/>
      <c r="M8" s="137"/>
      <c r="N8" s="138"/>
      <c r="O8" s="80">
        <v>3</v>
      </c>
    </row>
    <row r="9" spans="2:15" s="10" customFormat="1" ht="315.75" customHeight="1" x14ac:dyDescent="0.3">
      <c r="B9" s="42">
        <v>4</v>
      </c>
      <c r="C9" s="41">
        <f t="shared" si="0"/>
        <v>4</v>
      </c>
      <c r="D9" s="41" t="s">
        <v>52</v>
      </c>
      <c r="E9" s="41" t="s">
        <v>13</v>
      </c>
      <c r="F9" s="132" t="s">
        <v>927</v>
      </c>
      <c r="G9" s="132"/>
      <c r="H9" s="132"/>
      <c r="I9" s="132"/>
      <c r="J9" s="132"/>
      <c r="K9" s="132"/>
      <c r="L9" s="132"/>
      <c r="M9" s="132"/>
      <c r="N9" s="132"/>
      <c r="O9" s="80">
        <v>3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52</v>
      </c>
      <c r="E10" s="41" t="s">
        <v>13</v>
      </c>
      <c r="F10" s="132" t="s">
        <v>764</v>
      </c>
      <c r="G10" s="132"/>
      <c r="H10" s="132"/>
      <c r="I10" s="132"/>
      <c r="J10" s="132"/>
      <c r="K10" s="132"/>
      <c r="L10" s="132"/>
      <c r="M10" s="132"/>
      <c r="N10" s="132"/>
      <c r="O10" s="80">
        <v>2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52</v>
      </c>
      <c r="E11" s="41" t="s">
        <v>13</v>
      </c>
      <c r="F11" s="132" t="s">
        <v>765</v>
      </c>
      <c r="G11" s="132"/>
      <c r="H11" s="132"/>
      <c r="I11" s="132"/>
      <c r="J11" s="132"/>
      <c r="K11" s="132"/>
      <c r="L11" s="132"/>
      <c r="M11" s="132"/>
      <c r="N11" s="132"/>
      <c r="O11" s="80">
        <v>4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52</v>
      </c>
      <c r="E12" s="41" t="s">
        <v>13</v>
      </c>
      <c r="F12" s="132" t="s">
        <v>766</v>
      </c>
      <c r="G12" s="132"/>
      <c r="H12" s="132"/>
      <c r="I12" s="132"/>
      <c r="J12" s="132"/>
      <c r="K12" s="132"/>
      <c r="L12" s="132"/>
      <c r="M12" s="132"/>
      <c r="N12" s="132"/>
      <c r="O12" s="80">
        <v>3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52</v>
      </c>
      <c r="E13" s="41" t="s">
        <v>13</v>
      </c>
      <c r="F13" s="132" t="s">
        <v>767</v>
      </c>
      <c r="G13" s="132"/>
      <c r="H13" s="132"/>
      <c r="I13" s="132"/>
      <c r="J13" s="132"/>
      <c r="K13" s="132"/>
      <c r="L13" s="132"/>
      <c r="M13" s="132"/>
      <c r="N13" s="132"/>
      <c r="O13" s="80">
        <v>1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52</v>
      </c>
      <c r="E14" s="41" t="s">
        <v>2</v>
      </c>
      <c r="F14" s="132" t="s">
        <v>768</v>
      </c>
      <c r="G14" s="132"/>
      <c r="H14" s="132"/>
      <c r="I14" s="132"/>
      <c r="J14" s="132"/>
      <c r="K14" s="132"/>
      <c r="L14" s="132"/>
      <c r="M14" s="132"/>
      <c r="N14" s="132"/>
      <c r="O14" s="80">
        <v>4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52</v>
      </c>
      <c r="E15" s="41" t="s">
        <v>13</v>
      </c>
      <c r="F15" s="132" t="s">
        <v>769</v>
      </c>
      <c r="G15" s="132"/>
      <c r="H15" s="132"/>
      <c r="I15" s="132"/>
      <c r="J15" s="132"/>
      <c r="K15" s="132"/>
      <c r="L15" s="132"/>
      <c r="M15" s="132"/>
      <c r="N15" s="132"/>
      <c r="O15" s="80">
        <v>4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52</v>
      </c>
      <c r="E16" s="41" t="s">
        <v>13</v>
      </c>
      <c r="F16" s="132" t="s">
        <v>411</v>
      </c>
      <c r="G16" s="132"/>
      <c r="H16" s="132"/>
      <c r="I16" s="132"/>
      <c r="J16" s="132"/>
      <c r="K16" s="132"/>
      <c r="L16" s="132"/>
      <c r="M16" s="132"/>
      <c r="N16" s="132"/>
      <c r="O16" s="80">
        <v>4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52</v>
      </c>
      <c r="E17" s="41" t="s">
        <v>13</v>
      </c>
      <c r="F17" s="135" t="s">
        <v>737</v>
      </c>
      <c r="G17" s="132"/>
      <c r="H17" s="132"/>
      <c r="I17" s="132"/>
      <c r="J17" s="132"/>
      <c r="K17" s="132"/>
      <c r="L17" s="132"/>
      <c r="M17" s="132"/>
      <c r="N17" s="132"/>
      <c r="O17" s="80">
        <v>1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52</v>
      </c>
      <c r="E18" s="41" t="s">
        <v>13</v>
      </c>
      <c r="F18" s="132" t="s">
        <v>734</v>
      </c>
      <c r="G18" s="132"/>
      <c r="H18" s="132"/>
      <c r="I18" s="132"/>
      <c r="J18" s="132"/>
      <c r="K18" s="132"/>
      <c r="L18" s="132"/>
      <c r="M18" s="132"/>
      <c r="N18" s="132"/>
      <c r="O18" s="80">
        <v>3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52</v>
      </c>
      <c r="E19" s="41" t="s">
        <v>2</v>
      </c>
      <c r="F19" s="132" t="s">
        <v>733</v>
      </c>
      <c r="G19" s="132"/>
      <c r="H19" s="132"/>
      <c r="I19" s="132"/>
      <c r="J19" s="132"/>
      <c r="K19" s="132"/>
      <c r="L19" s="132"/>
      <c r="M19" s="132"/>
      <c r="N19" s="132"/>
      <c r="O19" s="80">
        <v>1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52</v>
      </c>
      <c r="E20" s="41" t="s">
        <v>13</v>
      </c>
      <c r="F20" s="132" t="s">
        <v>770</v>
      </c>
      <c r="G20" s="132"/>
      <c r="H20" s="132"/>
      <c r="I20" s="132"/>
      <c r="J20" s="132"/>
      <c r="K20" s="132"/>
      <c r="L20" s="132"/>
      <c r="M20" s="132"/>
      <c r="N20" s="132"/>
      <c r="O20" s="79">
        <v>3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52</v>
      </c>
      <c r="E21" s="41" t="s">
        <v>13</v>
      </c>
      <c r="F21" s="132" t="s">
        <v>742</v>
      </c>
      <c r="G21" s="132"/>
      <c r="H21" s="132"/>
      <c r="I21" s="132"/>
      <c r="J21" s="132"/>
      <c r="K21" s="132"/>
      <c r="L21" s="132"/>
      <c r="M21" s="132"/>
      <c r="N21" s="132"/>
      <c r="O21" s="80" t="s">
        <v>487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52</v>
      </c>
      <c r="E22" s="41" t="s">
        <v>13</v>
      </c>
      <c r="F22" s="132" t="s">
        <v>925</v>
      </c>
      <c r="G22" s="132"/>
      <c r="H22" s="132"/>
      <c r="I22" s="132"/>
      <c r="J22" s="132"/>
      <c r="K22" s="132"/>
      <c r="L22" s="132"/>
      <c r="M22" s="132"/>
      <c r="N22" s="132"/>
      <c r="O22" s="80">
        <v>4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52</v>
      </c>
      <c r="E23" s="41" t="s">
        <v>13</v>
      </c>
      <c r="F23" s="132" t="s">
        <v>743</v>
      </c>
      <c r="G23" s="132"/>
      <c r="H23" s="132"/>
      <c r="I23" s="132"/>
      <c r="J23" s="132"/>
      <c r="K23" s="132"/>
      <c r="L23" s="132"/>
      <c r="M23" s="132"/>
      <c r="N23" s="132"/>
      <c r="O23" s="80">
        <v>4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52</v>
      </c>
      <c r="E24" s="41" t="s">
        <v>13</v>
      </c>
      <c r="F24" s="132" t="s">
        <v>771</v>
      </c>
      <c r="G24" s="132"/>
      <c r="H24" s="132"/>
      <c r="I24" s="132"/>
      <c r="J24" s="132"/>
      <c r="K24" s="132"/>
      <c r="L24" s="132"/>
      <c r="M24" s="132"/>
      <c r="N24" s="132"/>
      <c r="O24" s="80">
        <v>1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52</v>
      </c>
      <c r="E25" s="41" t="s">
        <v>13</v>
      </c>
      <c r="F25" s="132" t="s">
        <v>772</v>
      </c>
      <c r="G25" s="132"/>
      <c r="H25" s="132"/>
      <c r="I25" s="132"/>
      <c r="J25" s="132"/>
      <c r="K25" s="132"/>
      <c r="L25" s="132"/>
      <c r="M25" s="132"/>
      <c r="N25" s="132"/>
      <c r="O25" s="96">
        <v>3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52</v>
      </c>
      <c r="E26" s="41" t="s">
        <v>16</v>
      </c>
      <c r="F26" s="132" t="s">
        <v>196</v>
      </c>
      <c r="G26" s="133"/>
      <c r="H26" s="133"/>
      <c r="I26" s="133"/>
      <c r="J26" s="133"/>
      <c r="K26" s="133"/>
      <c r="L26" s="133"/>
      <c r="M26" s="133"/>
      <c r="N26" s="133"/>
      <c r="O26" s="80" t="s">
        <v>200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52</v>
      </c>
      <c r="E27" s="41" t="s">
        <v>16</v>
      </c>
      <c r="F27" s="135" t="s">
        <v>949</v>
      </c>
      <c r="G27" s="132"/>
      <c r="H27" s="132"/>
      <c r="I27" s="132"/>
      <c r="J27" s="132"/>
      <c r="K27" s="132"/>
      <c r="L27" s="132"/>
      <c r="M27" s="132"/>
      <c r="N27" s="132"/>
      <c r="O27" s="80" t="s">
        <v>201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52</v>
      </c>
      <c r="E28" s="41" t="s">
        <v>16</v>
      </c>
      <c r="F28" s="135" t="s">
        <v>202</v>
      </c>
      <c r="G28" s="132"/>
      <c r="H28" s="132"/>
      <c r="I28" s="132"/>
      <c r="J28" s="132"/>
      <c r="K28" s="132"/>
      <c r="L28" s="132"/>
      <c r="M28" s="132"/>
      <c r="N28" s="132"/>
      <c r="O28" s="80" t="s">
        <v>203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52</v>
      </c>
      <c r="E29" s="41" t="s">
        <v>16</v>
      </c>
      <c r="F29" s="132" t="s">
        <v>204</v>
      </c>
      <c r="G29" s="132"/>
      <c r="H29" s="132"/>
      <c r="I29" s="132"/>
      <c r="J29" s="132"/>
      <c r="K29" s="132"/>
      <c r="L29" s="132"/>
      <c r="M29" s="132"/>
      <c r="N29" s="132"/>
      <c r="O29" s="80" t="s">
        <v>205</v>
      </c>
    </row>
    <row r="30" spans="2:15" s="10" customFormat="1" ht="207" customHeight="1" x14ac:dyDescent="0.3">
      <c r="B30" s="42">
        <v>25</v>
      </c>
      <c r="C30" s="41">
        <f t="shared" si="0"/>
        <v>2.5</v>
      </c>
      <c r="D30" s="41" t="s">
        <v>52</v>
      </c>
      <c r="E30" s="41" t="s">
        <v>25</v>
      </c>
      <c r="F30" s="132" t="s">
        <v>950</v>
      </c>
      <c r="G30" s="132"/>
      <c r="H30" s="132"/>
      <c r="I30" s="132"/>
      <c r="J30" s="132"/>
      <c r="K30" s="132"/>
      <c r="L30" s="132"/>
      <c r="M30" s="132"/>
      <c r="N30" s="132"/>
      <c r="O30" s="79" t="s">
        <v>53</v>
      </c>
    </row>
    <row r="31" spans="2:15" s="10" customFormat="1" ht="207" customHeight="1" x14ac:dyDescent="0.3">
      <c r="B31" s="42">
        <v>26</v>
      </c>
      <c r="C31" s="41">
        <f t="shared" si="0"/>
        <v>2.5</v>
      </c>
      <c r="D31" s="66" t="s">
        <v>52</v>
      </c>
      <c r="E31" s="41" t="s">
        <v>25</v>
      </c>
      <c r="F31" s="132" t="s">
        <v>745</v>
      </c>
      <c r="G31" s="132"/>
      <c r="H31" s="132"/>
      <c r="I31" s="132"/>
      <c r="J31" s="132"/>
      <c r="K31" s="132"/>
      <c r="L31" s="132"/>
      <c r="M31" s="132"/>
      <c r="N31" s="132"/>
      <c r="O31" s="80">
        <v>3</v>
      </c>
    </row>
    <row r="32" spans="2:15" s="10" customFormat="1" ht="207" customHeight="1" x14ac:dyDescent="0.3">
      <c r="B32" s="42">
        <v>27</v>
      </c>
      <c r="C32" s="41">
        <f t="shared" si="0"/>
        <v>2.5</v>
      </c>
      <c r="D32" s="41" t="s">
        <v>52</v>
      </c>
      <c r="E32" s="41" t="s">
        <v>25</v>
      </c>
      <c r="F32" s="132" t="s">
        <v>746</v>
      </c>
      <c r="G32" s="132"/>
      <c r="H32" s="132"/>
      <c r="I32" s="132"/>
      <c r="J32" s="132"/>
      <c r="K32" s="132"/>
      <c r="L32" s="132"/>
      <c r="M32" s="132"/>
      <c r="N32" s="132"/>
      <c r="O32" s="80">
        <v>3</v>
      </c>
    </row>
    <row r="33" spans="2:15" s="10" customFormat="1" ht="207" customHeight="1" x14ac:dyDescent="0.3">
      <c r="B33" s="42">
        <v>28</v>
      </c>
      <c r="C33" s="41">
        <f t="shared" si="0"/>
        <v>4</v>
      </c>
      <c r="D33" s="41" t="s">
        <v>52</v>
      </c>
      <c r="E33" s="41" t="s">
        <v>2</v>
      </c>
      <c r="F33" s="132" t="s">
        <v>747</v>
      </c>
      <c r="G33" s="132"/>
      <c r="H33" s="132"/>
      <c r="I33" s="132"/>
      <c r="J33" s="132"/>
      <c r="K33" s="132"/>
      <c r="L33" s="132"/>
      <c r="M33" s="132"/>
      <c r="N33" s="132"/>
      <c r="O33" s="80">
        <v>3</v>
      </c>
    </row>
    <row r="34" spans="2:15" s="10" customFormat="1" ht="207" customHeight="1" x14ac:dyDescent="0.3">
      <c r="B34" s="42">
        <v>29</v>
      </c>
      <c r="C34" s="41">
        <f t="shared" si="0"/>
        <v>4</v>
      </c>
      <c r="D34" s="41" t="s">
        <v>52</v>
      </c>
      <c r="E34" s="41" t="s">
        <v>2</v>
      </c>
      <c r="F34" s="132" t="s">
        <v>748</v>
      </c>
      <c r="G34" s="132"/>
      <c r="H34" s="132"/>
      <c r="I34" s="132"/>
      <c r="J34" s="132"/>
      <c r="K34" s="132"/>
      <c r="L34" s="132"/>
      <c r="M34" s="132"/>
      <c r="N34" s="132"/>
      <c r="O34" s="80">
        <v>2</v>
      </c>
    </row>
    <row r="35" spans="2:15" s="10" customFormat="1" ht="207" customHeight="1" x14ac:dyDescent="0.3">
      <c r="B35" s="42">
        <v>30</v>
      </c>
      <c r="C35" s="41">
        <f t="shared" si="0"/>
        <v>4</v>
      </c>
      <c r="D35" s="41" t="s">
        <v>52</v>
      </c>
      <c r="E35" s="41" t="s">
        <v>2</v>
      </c>
      <c r="F35" s="132" t="s">
        <v>749</v>
      </c>
      <c r="G35" s="132"/>
      <c r="H35" s="132"/>
      <c r="I35" s="132"/>
      <c r="J35" s="132"/>
      <c r="K35" s="132"/>
      <c r="L35" s="132"/>
      <c r="M35" s="132"/>
      <c r="N35" s="132"/>
      <c r="O35" s="80">
        <v>4</v>
      </c>
    </row>
    <row r="36" spans="2:15" s="10" customFormat="1" ht="207" customHeight="1" x14ac:dyDescent="0.3">
      <c r="B36" s="42">
        <v>31</v>
      </c>
      <c r="C36" s="41">
        <f t="shared" si="0"/>
        <v>4</v>
      </c>
      <c r="D36" s="41" t="s">
        <v>52</v>
      </c>
      <c r="E36" s="41" t="s">
        <v>2</v>
      </c>
      <c r="F36" s="132" t="s">
        <v>926</v>
      </c>
      <c r="G36" s="132"/>
      <c r="H36" s="132"/>
      <c r="I36" s="132"/>
      <c r="J36" s="132"/>
      <c r="K36" s="132"/>
      <c r="L36" s="132"/>
      <c r="M36" s="132"/>
      <c r="N36" s="132"/>
      <c r="O36" s="80">
        <v>3</v>
      </c>
    </row>
    <row r="37" spans="2:15" s="10" customFormat="1" ht="207" customHeight="1" x14ac:dyDescent="0.3">
      <c r="B37" s="42">
        <v>32</v>
      </c>
      <c r="C37" s="41">
        <f t="shared" si="0"/>
        <v>4</v>
      </c>
      <c r="D37" s="41" t="s">
        <v>52</v>
      </c>
      <c r="E37" s="41" t="s">
        <v>2</v>
      </c>
      <c r="F37" s="132" t="s">
        <v>750</v>
      </c>
      <c r="G37" s="132"/>
      <c r="H37" s="132"/>
      <c r="I37" s="132"/>
      <c r="J37" s="132"/>
      <c r="K37" s="132"/>
      <c r="L37" s="132"/>
      <c r="M37" s="132"/>
      <c r="N37" s="132"/>
      <c r="O37" s="83">
        <v>1</v>
      </c>
    </row>
    <row r="38" spans="2:15" s="10" customFormat="1" ht="207" customHeight="1" x14ac:dyDescent="0.3">
      <c r="B38" s="42">
        <v>33</v>
      </c>
      <c r="C38" s="41">
        <f t="shared" si="0"/>
        <v>4</v>
      </c>
      <c r="D38" s="41" t="s">
        <v>52</v>
      </c>
      <c r="E38" s="41" t="s">
        <v>2</v>
      </c>
      <c r="F38" s="132" t="s">
        <v>751</v>
      </c>
      <c r="G38" s="132"/>
      <c r="H38" s="132"/>
      <c r="I38" s="132"/>
      <c r="J38" s="132"/>
      <c r="K38" s="132"/>
      <c r="L38" s="132"/>
      <c r="M38" s="132"/>
      <c r="N38" s="132"/>
      <c r="O38" s="80">
        <v>2</v>
      </c>
    </row>
    <row r="39" spans="2:15" s="10" customFormat="1" ht="207" customHeight="1" x14ac:dyDescent="0.3">
      <c r="B39" s="42">
        <v>34</v>
      </c>
      <c r="C39" s="41">
        <f t="shared" si="0"/>
        <v>4</v>
      </c>
      <c r="D39" s="41" t="s">
        <v>52</v>
      </c>
      <c r="E39" s="41" t="s">
        <v>2</v>
      </c>
      <c r="F39" s="132" t="s">
        <v>752</v>
      </c>
      <c r="G39" s="132"/>
      <c r="H39" s="132"/>
      <c r="I39" s="132"/>
      <c r="J39" s="132"/>
      <c r="K39" s="132"/>
      <c r="L39" s="132"/>
      <c r="M39" s="132"/>
      <c r="N39" s="132"/>
      <c r="O39" s="80">
        <v>2</v>
      </c>
    </row>
    <row r="40" spans="2:15" s="10" customFormat="1" ht="207" customHeight="1" x14ac:dyDescent="0.3">
      <c r="B40" s="42">
        <v>35</v>
      </c>
      <c r="C40" s="41">
        <f t="shared" si="0"/>
        <v>4</v>
      </c>
      <c r="D40" s="41" t="s">
        <v>52</v>
      </c>
      <c r="E40" s="41" t="s">
        <v>2</v>
      </c>
      <c r="F40" s="132" t="s">
        <v>753</v>
      </c>
      <c r="G40" s="132"/>
      <c r="H40" s="132"/>
      <c r="I40" s="132"/>
      <c r="J40" s="132"/>
      <c r="K40" s="132"/>
      <c r="L40" s="132"/>
      <c r="M40" s="132"/>
      <c r="N40" s="132"/>
      <c r="O40" s="80">
        <v>1</v>
      </c>
    </row>
    <row r="41" spans="2:15" s="10" customFormat="1" ht="207" customHeight="1" x14ac:dyDescent="0.3">
      <c r="B41" s="42">
        <v>36</v>
      </c>
      <c r="C41" s="41">
        <f t="shared" si="0"/>
        <v>4</v>
      </c>
      <c r="D41" s="41" t="s">
        <v>52</v>
      </c>
      <c r="E41" s="41" t="s">
        <v>2</v>
      </c>
      <c r="F41" s="132" t="s">
        <v>754</v>
      </c>
      <c r="G41" s="132"/>
      <c r="H41" s="132"/>
      <c r="I41" s="132"/>
      <c r="J41" s="132"/>
      <c r="K41" s="132"/>
      <c r="L41" s="132"/>
      <c r="M41" s="132"/>
      <c r="N41" s="132"/>
      <c r="O41" s="80">
        <v>4</v>
      </c>
    </row>
    <row r="42" spans="2:15" s="10" customFormat="1" ht="207" customHeight="1" x14ac:dyDescent="0.3">
      <c r="B42" s="42">
        <v>37</v>
      </c>
      <c r="C42" s="41">
        <f t="shared" si="0"/>
        <v>4</v>
      </c>
      <c r="D42" s="41" t="s">
        <v>52</v>
      </c>
      <c r="E42" s="41" t="s">
        <v>2</v>
      </c>
      <c r="F42" s="132" t="s">
        <v>755</v>
      </c>
      <c r="G42" s="132"/>
      <c r="H42" s="132"/>
      <c r="I42" s="132"/>
      <c r="J42" s="132"/>
      <c r="K42" s="132"/>
      <c r="L42" s="132"/>
      <c r="M42" s="132"/>
      <c r="N42" s="132"/>
      <c r="O42" s="80">
        <v>1</v>
      </c>
    </row>
    <row r="43" spans="2:15" s="10" customFormat="1" ht="207" customHeight="1" x14ac:dyDescent="0.3">
      <c r="B43" s="42">
        <v>38</v>
      </c>
      <c r="C43" s="41">
        <f t="shared" si="0"/>
        <v>4</v>
      </c>
      <c r="D43" s="41" t="s">
        <v>52</v>
      </c>
      <c r="E43" s="41" t="s">
        <v>2</v>
      </c>
      <c r="F43" s="132" t="s">
        <v>924</v>
      </c>
      <c r="G43" s="132"/>
      <c r="H43" s="132"/>
      <c r="I43" s="132"/>
      <c r="J43" s="132"/>
      <c r="K43" s="132"/>
      <c r="L43" s="132"/>
      <c r="M43" s="132"/>
      <c r="N43" s="132"/>
      <c r="O43" s="80">
        <v>3</v>
      </c>
    </row>
    <row r="44" spans="2:15" s="10" customFormat="1" ht="207" customHeight="1" x14ac:dyDescent="0.3">
      <c r="B44" s="42">
        <v>39</v>
      </c>
      <c r="C44" s="41">
        <f t="shared" si="0"/>
        <v>4</v>
      </c>
      <c r="D44" s="41" t="s">
        <v>52</v>
      </c>
      <c r="E44" s="41" t="s">
        <v>2</v>
      </c>
      <c r="F44" s="132" t="s">
        <v>756</v>
      </c>
      <c r="G44" s="132"/>
      <c r="H44" s="132"/>
      <c r="I44" s="132"/>
      <c r="J44" s="132"/>
      <c r="K44" s="132"/>
      <c r="L44" s="132"/>
      <c r="M44" s="132"/>
      <c r="N44" s="132"/>
      <c r="O44" s="80">
        <v>4</v>
      </c>
    </row>
    <row r="45" spans="2:15" s="10" customFormat="1" ht="207" customHeight="1" x14ac:dyDescent="0.3">
      <c r="B45" s="42">
        <v>40</v>
      </c>
      <c r="C45" s="41">
        <f t="shared" si="0"/>
        <v>4</v>
      </c>
      <c r="D45" s="41" t="s">
        <v>52</v>
      </c>
      <c r="E45" s="41" t="s">
        <v>2</v>
      </c>
      <c r="F45" s="132" t="s">
        <v>773</v>
      </c>
      <c r="G45" s="132"/>
      <c r="H45" s="132"/>
      <c r="I45" s="132"/>
      <c r="J45" s="132"/>
      <c r="K45" s="132"/>
      <c r="L45" s="132"/>
      <c r="M45" s="132"/>
      <c r="N45" s="132"/>
      <c r="O45" s="80">
        <v>2</v>
      </c>
    </row>
    <row r="46" spans="2:15" s="10" customFormat="1" ht="207" customHeight="1" x14ac:dyDescent="0.3">
      <c r="B46" s="42">
        <v>41</v>
      </c>
      <c r="C46" s="41">
        <f t="shared" si="0"/>
        <v>4</v>
      </c>
      <c r="D46" s="41" t="s">
        <v>52</v>
      </c>
      <c r="E46" s="41" t="s">
        <v>2</v>
      </c>
      <c r="F46" s="132" t="s">
        <v>758</v>
      </c>
      <c r="G46" s="132"/>
      <c r="H46" s="132"/>
      <c r="I46" s="132"/>
      <c r="J46" s="132"/>
      <c r="K46" s="132"/>
      <c r="L46" s="132"/>
      <c r="M46" s="132"/>
      <c r="N46" s="132"/>
      <c r="O46" s="80">
        <v>1</v>
      </c>
    </row>
    <row r="47" spans="2:15" s="10" customFormat="1" ht="207" customHeight="1" x14ac:dyDescent="0.3">
      <c r="B47" s="42">
        <v>42</v>
      </c>
      <c r="C47" s="41">
        <f t="shared" si="0"/>
        <v>5</v>
      </c>
      <c r="D47" s="41" t="s">
        <v>52</v>
      </c>
      <c r="E47" s="41" t="s">
        <v>3</v>
      </c>
      <c r="F47" s="132" t="s">
        <v>759</v>
      </c>
      <c r="G47" s="132"/>
      <c r="H47" s="132"/>
      <c r="I47" s="132"/>
      <c r="J47" s="132"/>
      <c r="K47" s="132"/>
      <c r="L47" s="132"/>
      <c r="M47" s="132"/>
      <c r="N47" s="132"/>
      <c r="O47" s="80">
        <v>1</v>
      </c>
    </row>
    <row r="48" spans="2:15" s="10" customFormat="1" ht="207" customHeight="1" x14ac:dyDescent="0.3">
      <c r="B48" s="42">
        <v>43</v>
      </c>
      <c r="C48" s="41">
        <f t="shared" si="0"/>
        <v>5</v>
      </c>
      <c r="D48" s="41" t="s">
        <v>52</v>
      </c>
      <c r="E48" s="41" t="s">
        <v>3</v>
      </c>
      <c r="F48" s="132" t="s">
        <v>951</v>
      </c>
      <c r="G48" s="132"/>
      <c r="H48" s="132"/>
      <c r="I48" s="132"/>
      <c r="J48" s="132"/>
      <c r="K48" s="132"/>
      <c r="L48" s="132"/>
      <c r="M48" s="132"/>
      <c r="N48" s="132"/>
      <c r="O48" s="83" t="s">
        <v>274</v>
      </c>
    </row>
    <row r="49" spans="2:15" s="10" customFormat="1" ht="207" customHeight="1" x14ac:dyDescent="0.3">
      <c r="B49" s="42">
        <v>44</v>
      </c>
      <c r="C49" s="41">
        <f t="shared" si="0"/>
        <v>5</v>
      </c>
      <c r="D49" s="41" t="s">
        <v>52</v>
      </c>
      <c r="E49" s="41" t="s">
        <v>3</v>
      </c>
      <c r="F49" s="132" t="s">
        <v>952</v>
      </c>
      <c r="G49" s="132"/>
      <c r="H49" s="132"/>
      <c r="I49" s="132"/>
      <c r="J49" s="132"/>
      <c r="K49" s="132"/>
      <c r="L49" s="132"/>
      <c r="M49" s="132"/>
      <c r="N49" s="132"/>
      <c r="O49" s="83" t="s">
        <v>275</v>
      </c>
    </row>
    <row r="50" spans="2:15" s="10" customFormat="1" ht="207" customHeight="1" x14ac:dyDescent="0.3">
      <c r="B50" s="42">
        <v>45</v>
      </c>
      <c r="C50" s="41">
        <f t="shared" si="0"/>
        <v>5</v>
      </c>
      <c r="D50" s="41" t="s">
        <v>52</v>
      </c>
      <c r="E50" s="41" t="s">
        <v>3</v>
      </c>
      <c r="F50" s="132" t="s">
        <v>953</v>
      </c>
      <c r="G50" s="132"/>
      <c r="H50" s="132"/>
      <c r="I50" s="132"/>
      <c r="J50" s="132"/>
      <c r="K50" s="132"/>
      <c r="L50" s="132"/>
      <c r="M50" s="132"/>
      <c r="N50" s="132"/>
      <c r="O50" s="83">
        <v>1</v>
      </c>
    </row>
  </sheetData>
  <mergeCells count="48"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38:N38"/>
    <mergeCell ref="F27:N27"/>
    <mergeCell ref="F28:N28"/>
    <mergeCell ref="F29:N29"/>
    <mergeCell ref="F30:N30"/>
    <mergeCell ref="F31:N31"/>
    <mergeCell ref="F32:N32"/>
    <mergeCell ref="F33:N33"/>
    <mergeCell ref="F34:N34"/>
    <mergeCell ref="F35:N35"/>
    <mergeCell ref="F36:N36"/>
    <mergeCell ref="F37:N37"/>
    <mergeCell ref="F50:N50"/>
    <mergeCell ref="F39:N39"/>
    <mergeCell ref="F40:N40"/>
    <mergeCell ref="F41:N41"/>
    <mergeCell ref="F42:N42"/>
    <mergeCell ref="F43:N43"/>
    <mergeCell ref="F44:N44"/>
    <mergeCell ref="F45:N45"/>
    <mergeCell ref="F46:N46"/>
    <mergeCell ref="F47:N47"/>
    <mergeCell ref="F48:N48"/>
    <mergeCell ref="F49:N4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9"/>
  <dimension ref="B2:Q46"/>
  <sheetViews>
    <sheetView showGridLines="0" topLeftCell="A39" zoomScale="40" zoomScaleNormal="40" zoomScaleSheetLayoutView="55" workbookViewId="0">
      <selection activeCell="G45" sqref="G45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7" ht="13.5" customHeight="1" x14ac:dyDescent="0.3">
      <c r="C2" s="2"/>
      <c r="D2" s="2"/>
      <c r="E2" s="2"/>
    </row>
    <row r="3" spans="2:17" ht="100.5" customHeight="1" x14ac:dyDescent="0.3">
      <c r="B3" s="126" t="s">
        <v>206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7" ht="12" customHeight="1" x14ac:dyDescent="0.3">
      <c r="C4" s="129"/>
      <c r="D4" s="129"/>
      <c r="E4" s="129"/>
      <c r="F4" s="129"/>
      <c r="G4" s="62"/>
      <c r="H4" s="62"/>
      <c r="I4" s="62"/>
      <c r="J4" s="62"/>
      <c r="K4" s="62"/>
      <c r="L4" s="62"/>
      <c r="M4" s="62"/>
      <c r="N4" s="62"/>
    </row>
    <row r="5" spans="2:17" ht="49.5" customHeight="1" x14ac:dyDescent="0.3">
      <c r="B5" s="36" t="s">
        <v>0</v>
      </c>
      <c r="C5" s="63" t="s">
        <v>20</v>
      </c>
      <c r="D5" s="63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7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13</v>
      </c>
      <c r="F6" s="132" t="s">
        <v>775</v>
      </c>
      <c r="G6" s="132"/>
      <c r="H6" s="132"/>
      <c r="I6" s="132"/>
      <c r="J6" s="132"/>
      <c r="K6" s="132"/>
      <c r="L6" s="132"/>
      <c r="M6" s="132"/>
      <c r="N6" s="132"/>
      <c r="O6" s="80">
        <v>3</v>
      </c>
    </row>
    <row r="7" spans="2:17" s="10" customFormat="1" ht="206.25" customHeight="1" x14ac:dyDescent="0.3">
      <c r="B7" s="42">
        <v>2</v>
      </c>
      <c r="C7" s="41">
        <f t="shared" ref="C7:C44" si="0">IF(E7="공통",2.5,IF(E7="객관식",4,IF(E7="주관식",5,"")))</f>
        <v>4</v>
      </c>
      <c r="D7" s="41" t="s">
        <v>14</v>
      </c>
      <c r="E7" s="41" t="s">
        <v>13</v>
      </c>
      <c r="F7" s="132" t="s">
        <v>774</v>
      </c>
      <c r="G7" s="140"/>
      <c r="H7" s="140"/>
      <c r="I7" s="140"/>
      <c r="J7" s="140"/>
      <c r="K7" s="140"/>
      <c r="L7" s="140"/>
      <c r="M7" s="140"/>
      <c r="N7" s="141"/>
      <c r="O7" s="80">
        <v>4</v>
      </c>
    </row>
    <row r="8" spans="2:17" s="10" customFormat="1" ht="207" customHeight="1" x14ac:dyDescent="0.3">
      <c r="B8" s="42">
        <v>3</v>
      </c>
      <c r="C8" s="41">
        <f t="shared" si="0"/>
        <v>4</v>
      </c>
      <c r="D8" s="41" t="s">
        <v>14</v>
      </c>
      <c r="E8" s="41" t="s">
        <v>13</v>
      </c>
      <c r="F8" s="136" t="s">
        <v>806</v>
      </c>
      <c r="G8" s="137"/>
      <c r="H8" s="137"/>
      <c r="I8" s="137"/>
      <c r="J8" s="137"/>
      <c r="K8" s="137"/>
      <c r="L8" s="137"/>
      <c r="M8" s="137"/>
      <c r="N8" s="138"/>
      <c r="O8" s="80">
        <v>2</v>
      </c>
      <c r="Q8" s="10" t="s">
        <v>501</v>
      </c>
    </row>
    <row r="9" spans="2:17" s="10" customFormat="1" ht="207" customHeight="1" x14ac:dyDescent="0.3">
      <c r="B9" s="42">
        <v>4</v>
      </c>
      <c r="C9" s="41">
        <f t="shared" si="0"/>
        <v>4</v>
      </c>
      <c r="D9" s="41" t="s">
        <v>14</v>
      </c>
      <c r="E9" s="41" t="s">
        <v>13</v>
      </c>
      <c r="F9" s="132" t="s">
        <v>614</v>
      </c>
      <c r="G9" s="132"/>
      <c r="H9" s="132"/>
      <c r="I9" s="132"/>
      <c r="J9" s="132"/>
      <c r="K9" s="132"/>
      <c r="L9" s="132"/>
      <c r="M9" s="132"/>
      <c r="N9" s="132"/>
      <c r="O9" s="80">
        <v>4</v>
      </c>
    </row>
    <row r="10" spans="2:17" s="10" customFormat="1" ht="207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13</v>
      </c>
      <c r="F10" s="132" t="s">
        <v>776</v>
      </c>
      <c r="G10" s="132"/>
      <c r="H10" s="132"/>
      <c r="I10" s="132"/>
      <c r="J10" s="132"/>
      <c r="K10" s="132"/>
      <c r="L10" s="132"/>
      <c r="M10" s="132"/>
      <c r="N10" s="132"/>
      <c r="O10" s="80">
        <v>3</v>
      </c>
    </row>
    <row r="11" spans="2:17" s="10" customFormat="1" ht="207" customHeight="1" x14ac:dyDescent="0.3">
      <c r="B11" s="42">
        <v>6</v>
      </c>
      <c r="C11" s="41">
        <f t="shared" si="0"/>
        <v>4</v>
      </c>
      <c r="D11" s="41" t="s">
        <v>14</v>
      </c>
      <c r="E11" s="41" t="s">
        <v>13</v>
      </c>
      <c r="F11" s="132" t="s">
        <v>777</v>
      </c>
      <c r="G11" s="132"/>
      <c r="H11" s="132"/>
      <c r="I11" s="132"/>
      <c r="J11" s="132"/>
      <c r="K11" s="132"/>
      <c r="L11" s="132"/>
      <c r="M11" s="132"/>
      <c r="N11" s="132"/>
      <c r="O11" s="80">
        <v>2</v>
      </c>
    </row>
    <row r="12" spans="2:17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13</v>
      </c>
      <c r="F12" s="132" t="s">
        <v>778</v>
      </c>
      <c r="G12" s="132"/>
      <c r="H12" s="132"/>
      <c r="I12" s="132"/>
      <c r="J12" s="132"/>
      <c r="K12" s="132"/>
      <c r="L12" s="132"/>
      <c r="M12" s="132"/>
      <c r="N12" s="132"/>
      <c r="O12" s="79">
        <v>4</v>
      </c>
    </row>
    <row r="13" spans="2:17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13</v>
      </c>
      <c r="F13" s="132" t="s">
        <v>779</v>
      </c>
      <c r="G13" s="132"/>
      <c r="H13" s="132"/>
      <c r="I13" s="132"/>
      <c r="J13" s="132"/>
      <c r="K13" s="132"/>
      <c r="L13" s="132"/>
      <c r="M13" s="132"/>
      <c r="N13" s="132"/>
      <c r="O13" s="80">
        <v>4</v>
      </c>
    </row>
    <row r="14" spans="2:17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2</v>
      </c>
      <c r="F14" s="132" t="s">
        <v>780</v>
      </c>
      <c r="G14" s="132"/>
      <c r="H14" s="132"/>
      <c r="I14" s="132"/>
      <c r="J14" s="132"/>
      <c r="K14" s="132"/>
      <c r="L14" s="132"/>
      <c r="M14" s="132"/>
      <c r="N14" s="132"/>
      <c r="O14" s="80">
        <v>2</v>
      </c>
    </row>
    <row r="15" spans="2:17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13</v>
      </c>
      <c r="F15" s="132" t="s">
        <v>781</v>
      </c>
      <c r="G15" s="132"/>
      <c r="H15" s="132"/>
      <c r="I15" s="132"/>
      <c r="J15" s="132"/>
      <c r="K15" s="132"/>
      <c r="L15" s="132"/>
      <c r="M15" s="132"/>
      <c r="N15" s="132"/>
      <c r="O15" s="80">
        <v>4</v>
      </c>
    </row>
    <row r="16" spans="2:17" s="10" customFormat="1" ht="20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13</v>
      </c>
      <c r="F16" s="132" t="s">
        <v>782</v>
      </c>
      <c r="G16" s="132"/>
      <c r="H16" s="132"/>
      <c r="I16" s="132"/>
      <c r="J16" s="132"/>
      <c r="K16" s="132"/>
      <c r="L16" s="132"/>
      <c r="M16" s="132"/>
      <c r="N16" s="132"/>
      <c r="O16" s="80">
        <v>4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13</v>
      </c>
      <c r="F17" s="135" t="s">
        <v>783</v>
      </c>
      <c r="G17" s="132"/>
      <c r="H17" s="132"/>
      <c r="I17" s="132"/>
      <c r="J17" s="132"/>
      <c r="K17" s="132"/>
      <c r="L17" s="132"/>
      <c r="M17" s="132"/>
      <c r="N17" s="132"/>
      <c r="O17" s="80">
        <v>3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13</v>
      </c>
      <c r="F18" s="132" t="s">
        <v>784</v>
      </c>
      <c r="G18" s="132"/>
      <c r="H18" s="132"/>
      <c r="I18" s="132"/>
      <c r="J18" s="132"/>
      <c r="K18" s="132"/>
      <c r="L18" s="132"/>
      <c r="M18" s="132"/>
      <c r="N18" s="132"/>
      <c r="O18" s="80">
        <v>2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2</v>
      </c>
      <c r="F19" s="132" t="s">
        <v>785</v>
      </c>
      <c r="G19" s="132"/>
      <c r="H19" s="132"/>
      <c r="I19" s="132"/>
      <c r="J19" s="132"/>
      <c r="K19" s="132"/>
      <c r="L19" s="132"/>
      <c r="M19" s="132"/>
      <c r="N19" s="132"/>
      <c r="O19" s="80">
        <v>2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13</v>
      </c>
      <c r="F20" s="132" t="s">
        <v>786</v>
      </c>
      <c r="G20" s="132"/>
      <c r="H20" s="132"/>
      <c r="I20" s="132"/>
      <c r="J20" s="132"/>
      <c r="K20" s="132"/>
      <c r="L20" s="132"/>
      <c r="M20" s="132"/>
      <c r="N20" s="132"/>
      <c r="O20" s="79">
        <v>3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13</v>
      </c>
      <c r="F21" s="132" t="s">
        <v>787</v>
      </c>
      <c r="G21" s="132"/>
      <c r="H21" s="132"/>
      <c r="I21" s="132"/>
      <c r="J21" s="132"/>
      <c r="K21" s="132"/>
      <c r="L21" s="132"/>
      <c r="M21" s="132"/>
      <c r="N21" s="132"/>
      <c r="O21" s="80">
        <v>4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13</v>
      </c>
      <c r="F22" s="132" t="s">
        <v>788</v>
      </c>
      <c r="G22" s="132"/>
      <c r="H22" s="132"/>
      <c r="I22" s="132"/>
      <c r="J22" s="132"/>
      <c r="K22" s="132"/>
      <c r="L22" s="132"/>
      <c r="M22" s="132"/>
      <c r="N22" s="132"/>
      <c r="O22" s="80">
        <v>3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14</v>
      </c>
      <c r="E23" s="41" t="s">
        <v>13</v>
      </c>
      <c r="F23" s="132" t="s">
        <v>789</v>
      </c>
      <c r="G23" s="132"/>
      <c r="H23" s="132"/>
      <c r="I23" s="132"/>
      <c r="J23" s="132"/>
      <c r="K23" s="132"/>
      <c r="L23" s="132"/>
      <c r="M23" s="132"/>
      <c r="N23" s="132"/>
      <c r="O23" s="80">
        <v>2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14</v>
      </c>
      <c r="E24" s="41" t="s">
        <v>13</v>
      </c>
      <c r="F24" s="132" t="s">
        <v>790</v>
      </c>
      <c r="G24" s="132"/>
      <c r="H24" s="132"/>
      <c r="I24" s="132"/>
      <c r="J24" s="132"/>
      <c r="K24" s="132"/>
      <c r="L24" s="132"/>
      <c r="M24" s="132"/>
      <c r="N24" s="132"/>
      <c r="O24" s="80">
        <v>3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14</v>
      </c>
      <c r="E25" s="41" t="s">
        <v>13</v>
      </c>
      <c r="F25" s="132" t="s">
        <v>791</v>
      </c>
      <c r="G25" s="132"/>
      <c r="H25" s="132"/>
      <c r="I25" s="132"/>
      <c r="J25" s="132"/>
      <c r="K25" s="132"/>
      <c r="L25" s="132"/>
      <c r="M25" s="132"/>
      <c r="N25" s="132"/>
      <c r="O25" s="96">
        <v>3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14</v>
      </c>
      <c r="E26" s="41" t="s">
        <v>16</v>
      </c>
      <c r="F26" s="132" t="s">
        <v>207</v>
      </c>
      <c r="G26" s="133"/>
      <c r="H26" s="133"/>
      <c r="I26" s="133"/>
      <c r="J26" s="133"/>
      <c r="K26" s="133"/>
      <c r="L26" s="133"/>
      <c r="M26" s="133"/>
      <c r="N26" s="133"/>
      <c r="O26" s="80" t="s">
        <v>208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14</v>
      </c>
      <c r="E27" s="41" t="s">
        <v>16</v>
      </c>
      <c r="F27" s="135" t="s">
        <v>209</v>
      </c>
      <c r="G27" s="132"/>
      <c r="H27" s="132"/>
      <c r="I27" s="132"/>
      <c r="J27" s="132"/>
      <c r="K27" s="132"/>
      <c r="L27" s="132"/>
      <c r="M27" s="132"/>
      <c r="N27" s="132"/>
      <c r="O27" s="80" t="s">
        <v>210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14</v>
      </c>
      <c r="E28" s="41" t="s">
        <v>16</v>
      </c>
      <c r="F28" s="135" t="s">
        <v>211</v>
      </c>
      <c r="G28" s="132"/>
      <c r="H28" s="132"/>
      <c r="I28" s="132"/>
      <c r="J28" s="132"/>
      <c r="K28" s="132"/>
      <c r="L28" s="132"/>
      <c r="M28" s="132"/>
      <c r="N28" s="132"/>
      <c r="O28" s="80" t="s">
        <v>212</v>
      </c>
    </row>
    <row r="29" spans="2:15" s="10" customFormat="1" ht="207" customHeight="1" x14ac:dyDescent="0.3">
      <c r="B29" s="42">
        <v>24.25</v>
      </c>
      <c r="C29" s="41">
        <f t="shared" si="0"/>
        <v>5</v>
      </c>
      <c r="D29" s="41" t="s">
        <v>14</v>
      </c>
      <c r="E29" s="41" t="s">
        <v>16</v>
      </c>
      <c r="F29" s="132" t="s">
        <v>954</v>
      </c>
      <c r="G29" s="132"/>
      <c r="H29" s="132"/>
      <c r="I29" s="132"/>
      <c r="J29" s="132"/>
      <c r="K29" s="132"/>
      <c r="L29" s="132"/>
      <c r="M29" s="132"/>
      <c r="N29" s="132"/>
      <c r="O29" s="80" t="s">
        <v>213</v>
      </c>
    </row>
    <row r="30" spans="2:15" s="10" customFormat="1" ht="207" customHeight="1" x14ac:dyDescent="0.3">
      <c r="B30" s="42">
        <v>26</v>
      </c>
      <c r="C30" s="41">
        <f t="shared" si="0"/>
        <v>2.5</v>
      </c>
      <c r="D30" s="41" t="s">
        <v>14</v>
      </c>
      <c r="E30" s="41" t="s">
        <v>25</v>
      </c>
      <c r="F30" s="132" t="s">
        <v>792</v>
      </c>
      <c r="G30" s="132"/>
      <c r="H30" s="132"/>
      <c r="I30" s="132"/>
      <c r="J30" s="132"/>
      <c r="K30" s="132"/>
      <c r="L30" s="132"/>
      <c r="M30" s="132"/>
      <c r="N30" s="132"/>
      <c r="O30" s="79">
        <v>3</v>
      </c>
    </row>
    <row r="31" spans="2:15" s="10" customFormat="1" ht="207" customHeight="1" x14ac:dyDescent="0.3">
      <c r="B31" s="42">
        <v>27</v>
      </c>
      <c r="C31" s="41">
        <f t="shared" si="0"/>
        <v>2.5</v>
      </c>
      <c r="D31" s="66" t="s">
        <v>14</v>
      </c>
      <c r="E31" s="41" t="s">
        <v>25</v>
      </c>
      <c r="F31" s="132" t="s">
        <v>793</v>
      </c>
      <c r="G31" s="132"/>
      <c r="H31" s="132"/>
      <c r="I31" s="132"/>
      <c r="J31" s="132"/>
      <c r="K31" s="132"/>
      <c r="L31" s="132"/>
      <c r="M31" s="132"/>
      <c r="N31" s="132"/>
      <c r="O31" s="96">
        <v>3</v>
      </c>
    </row>
    <row r="32" spans="2:15" s="10" customFormat="1" ht="207" customHeight="1" x14ac:dyDescent="0.3">
      <c r="B32" s="42">
        <v>28</v>
      </c>
      <c r="C32" s="41">
        <f t="shared" si="0"/>
        <v>4</v>
      </c>
      <c r="D32" s="41" t="s">
        <v>14</v>
      </c>
      <c r="E32" s="41" t="s">
        <v>2</v>
      </c>
      <c r="F32" s="132" t="s">
        <v>794</v>
      </c>
      <c r="G32" s="132"/>
      <c r="H32" s="132"/>
      <c r="I32" s="132"/>
      <c r="J32" s="132"/>
      <c r="K32" s="132"/>
      <c r="L32" s="132"/>
      <c r="M32" s="132"/>
      <c r="N32" s="132"/>
      <c r="O32" s="80">
        <v>4</v>
      </c>
    </row>
    <row r="33" spans="2:15" s="10" customFormat="1" ht="207" customHeight="1" x14ac:dyDescent="0.3">
      <c r="B33" s="42">
        <v>29</v>
      </c>
      <c r="C33" s="41">
        <f t="shared" si="0"/>
        <v>4</v>
      </c>
      <c r="D33" s="41" t="s">
        <v>14</v>
      </c>
      <c r="E33" s="41" t="s">
        <v>2</v>
      </c>
      <c r="F33" s="132" t="s">
        <v>795</v>
      </c>
      <c r="G33" s="132"/>
      <c r="H33" s="132"/>
      <c r="I33" s="132"/>
      <c r="J33" s="132"/>
      <c r="K33" s="132"/>
      <c r="L33" s="132"/>
      <c r="M33" s="132"/>
      <c r="N33" s="132"/>
      <c r="O33" s="83">
        <v>3</v>
      </c>
    </row>
    <row r="34" spans="2:15" s="10" customFormat="1" ht="207" customHeight="1" x14ac:dyDescent="0.3">
      <c r="B34" s="42">
        <v>30</v>
      </c>
      <c r="C34" s="41">
        <f t="shared" si="0"/>
        <v>4</v>
      </c>
      <c r="D34" s="41" t="s">
        <v>14</v>
      </c>
      <c r="E34" s="41" t="s">
        <v>2</v>
      </c>
      <c r="F34" s="132" t="s">
        <v>796</v>
      </c>
      <c r="G34" s="132"/>
      <c r="H34" s="132"/>
      <c r="I34" s="132"/>
      <c r="J34" s="132"/>
      <c r="K34" s="132"/>
      <c r="L34" s="132"/>
      <c r="M34" s="132"/>
      <c r="N34" s="132"/>
      <c r="O34" s="83">
        <v>3</v>
      </c>
    </row>
    <row r="35" spans="2:15" s="10" customFormat="1" ht="207" customHeight="1" x14ac:dyDescent="0.3">
      <c r="B35" s="42">
        <v>31</v>
      </c>
      <c r="C35" s="41">
        <f t="shared" si="0"/>
        <v>4</v>
      </c>
      <c r="D35" s="41" t="s">
        <v>14</v>
      </c>
      <c r="E35" s="41" t="s">
        <v>2</v>
      </c>
      <c r="F35" s="132" t="s">
        <v>797</v>
      </c>
      <c r="G35" s="132"/>
      <c r="H35" s="132"/>
      <c r="I35" s="132"/>
      <c r="J35" s="132"/>
      <c r="K35" s="132"/>
      <c r="L35" s="132"/>
      <c r="M35" s="132"/>
      <c r="N35" s="132"/>
      <c r="O35" s="80">
        <v>2</v>
      </c>
    </row>
    <row r="36" spans="2:15" s="10" customFormat="1" ht="207" customHeight="1" x14ac:dyDescent="0.3">
      <c r="B36" s="42">
        <v>32</v>
      </c>
      <c r="C36" s="41">
        <f t="shared" si="0"/>
        <v>4</v>
      </c>
      <c r="D36" s="41" t="s">
        <v>14</v>
      </c>
      <c r="E36" s="41" t="s">
        <v>2</v>
      </c>
      <c r="F36" s="132" t="s">
        <v>798</v>
      </c>
      <c r="G36" s="132"/>
      <c r="H36" s="132"/>
      <c r="I36" s="132"/>
      <c r="J36" s="132"/>
      <c r="K36" s="132"/>
      <c r="L36" s="132"/>
      <c r="M36" s="132"/>
      <c r="N36" s="132"/>
      <c r="O36" s="80">
        <v>4</v>
      </c>
    </row>
    <row r="37" spans="2:15" s="10" customFormat="1" ht="207" customHeight="1" x14ac:dyDescent="0.3">
      <c r="B37" s="42">
        <v>33</v>
      </c>
      <c r="C37" s="41">
        <f t="shared" si="0"/>
        <v>4</v>
      </c>
      <c r="D37" s="41" t="s">
        <v>14</v>
      </c>
      <c r="E37" s="41" t="s">
        <v>2</v>
      </c>
      <c r="F37" s="132" t="s">
        <v>276</v>
      </c>
      <c r="G37" s="132"/>
      <c r="H37" s="132"/>
      <c r="I37" s="132"/>
      <c r="J37" s="132"/>
      <c r="K37" s="132"/>
      <c r="L37" s="132"/>
      <c r="M37" s="132"/>
      <c r="N37" s="132"/>
      <c r="O37" s="80">
        <v>1</v>
      </c>
    </row>
    <row r="38" spans="2:15" s="10" customFormat="1" ht="207" customHeight="1" x14ac:dyDescent="0.3">
      <c r="B38" s="42">
        <v>34</v>
      </c>
      <c r="C38" s="41">
        <f t="shared" si="0"/>
        <v>4</v>
      </c>
      <c r="D38" s="41" t="s">
        <v>14</v>
      </c>
      <c r="E38" s="41" t="s">
        <v>2</v>
      </c>
      <c r="F38" s="132" t="s">
        <v>277</v>
      </c>
      <c r="G38" s="132"/>
      <c r="H38" s="132"/>
      <c r="I38" s="132"/>
      <c r="J38" s="132"/>
      <c r="K38" s="132"/>
      <c r="L38" s="132"/>
      <c r="M38" s="132"/>
      <c r="N38" s="132"/>
      <c r="O38" s="80">
        <v>2</v>
      </c>
    </row>
    <row r="39" spans="2:15" s="10" customFormat="1" ht="207" customHeight="1" x14ac:dyDescent="0.3">
      <c r="B39" s="42">
        <v>35</v>
      </c>
      <c r="C39" s="41">
        <f t="shared" si="0"/>
        <v>4</v>
      </c>
      <c r="D39" s="41" t="s">
        <v>14</v>
      </c>
      <c r="E39" s="41" t="s">
        <v>2</v>
      </c>
      <c r="F39" s="132" t="s">
        <v>799</v>
      </c>
      <c r="G39" s="132"/>
      <c r="H39" s="132"/>
      <c r="I39" s="132"/>
      <c r="J39" s="132"/>
      <c r="K39" s="132"/>
      <c r="L39" s="132"/>
      <c r="M39" s="132"/>
      <c r="N39" s="132"/>
      <c r="O39" s="80">
        <v>1</v>
      </c>
    </row>
    <row r="40" spans="2:15" s="10" customFormat="1" ht="207" customHeight="1" x14ac:dyDescent="0.3">
      <c r="B40" s="42">
        <v>36</v>
      </c>
      <c r="C40" s="41">
        <f t="shared" si="0"/>
        <v>4</v>
      </c>
      <c r="D40" s="41" t="s">
        <v>14</v>
      </c>
      <c r="E40" s="41" t="s">
        <v>2</v>
      </c>
      <c r="F40" s="132" t="s">
        <v>800</v>
      </c>
      <c r="G40" s="132"/>
      <c r="H40" s="132"/>
      <c r="I40" s="132"/>
      <c r="J40" s="132"/>
      <c r="K40" s="132"/>
      <c r="L40" s="132"/>
      <c r="M40" s="132"/>
      <c r="N40" s="132"/>
      <c r="O40" s="80">
        <v>4</v>
      </c>
    </row>
    <row r="41" spans="2:15" s="10" customFormat="1" ht="207" customHeight="1" x14ac:dyDescent="0.3">
      <c r="B41" s="42">
        <v>37</v>
      </c>
      <c r="C41" s="41">
        <f t="shared" si="0"/>
        <v>4</v>
      </c>
      <c r="D41" s="41" t="s">
        <v>14</v>
      </c>
      <c r="E41" s="41" t="s">
        <v>2</v>
      </c>
      <c r="F41" s="132" t="s">
        <v>964</v>
      </c>
      <c r="G41" s="132"/>
      <c r="H41" s="132"/>
      <c r="I41" s="132"/>
      <c r="J41" s="132"/>
      <c r="K41" s="132"/>
      <c r="L41" s="132"/>
      <c r="M41" s="132"/>
      <c r="N41" s="132"/>
      <c r="O41" s="80">
        <v>3</v>
      </c>
    </row>
    <row r="42" spans="2:15" s="10" customFormat="1" ht="207" customHeight="1" x14ac:dyDescent="0.3">
      <c r="B42" s="42">
        <v>38</v>
      </c>
      <c r="C42" s="41">
        <f t="shared" si="0"/>
        <v>4</v>
      </c>
      <c r="D42" s="41" t="s">
        <v>14</v>
      </c>
      <c r="E42" s="41" t="s">
        <v>2</v>
      </c>
      <c r="F42" s="132" t="s">
        <v>801</v>
      </c>
      <c r="G42" s="132"/>
      <c r="H42" s="132"/>
      <c r="I42" s="132"/>
      <c r="J42" s="132"/>
      <c r="K42" s="132"/>
      <c r="L42" s="132"/>
      <c r="M42" s="132"/>
      <c r="N42" s="132"/>
      <c r="O42" s="80">
        <v>2</v>
      </c>
    </row>
    <row r="43" spans="2:15" s="10" customFormat="1" ht="207" customHeight="1" x14ac:dyDescent="0.3">
      <c r="B43" s="42">
        <v>39</v>
      </c>
      <c r="C43" s="41">
        <f t="shared" si="0"/>
        <v>5</v>
      </c>
      <c r="D43" s="41" t="s">
        <v>14</v>
      </c>
      <c r="E43" s="41" t="s">
        <v>3</v>
      </c>
      <c r="F43" s="132" t="s">
        <v>312</v>
      </c>
      <c r="G43" s="132"/>
      <c r="H43" s="132"/>
      <c r="I43" s="132"/>
      <c r="J43" s="132"/>
      <c r="K43" s="132"/>
      <c r="L43" s="132"/>
      <c r="M43" s="132"/>
      <c r="N43" s="132"/>
      <c r="O43" s="80" t="s">
        <v>313</v>
      </c>
    </row>
    <row r="44" spans="2:15" s="10" customFormat="1" ht="207" customHeight="1" x14ac:dyDescent="0.3">
      <c r="B44" s="42">
        <v>40</v>
      </c>
      <c r="C44" s="41">
        <f t="shared" si="0"/>
        <v>5</v>
      </c>
      <c r="D44" s="41" t="s">
        <v>14</v>
      </c>
      <c r="E44" s="41" t="s">
        <v>3</v>
      </c>
      <c r="F44" s="132" t="s">
        <v>802</v>
      </c>
      <c r="G44" s="132"/>
      <c r="H44" s="132"/>
      <c r="I44" s="132"/>
      <c r="J44" s="132"/>
      <c r="K44" s="132"/>
      <c r="L44" s="132"/>
      <c r="M44" s="132"/>
      <c r="N44" s="132"/>
      <c r="O44" s="80">
        <v>2</v>
      </c>
    </row>
    <row r="45" spans="2:15" s="10" customFormat="1" ht="207" customHeight="1" x14ac:dyDescent="0.3">
      <c r="O45" s="100"/>
    </row>
    <row r="46" spans="2:15" s="10" customFormat="1" ht="207" customHeight="1" x14ac:dyDescent="0.3">
      <c r="O46" s="100"/>
    </row>
  </sheetData>
  <mergeCells count="42"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40:N40"/>
    <mergeCell ref="F41:N4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42:N42"/>
    <mergeCell ref="F43:N43"/>
    <mergeCell ref="F44:N44"/>
    <mergeCell ref="F38:N38"/>
    <mergeCell ref="F27:N27"/>
    <mergeCell ref="F28:N28"/>
    <mergeCell ref="F29:N29"/>
    <mergeCell ref="F30:N30"/>
    <mergeCell ref="F31:N31"/>
    <mergeCell ref="F32:N32"/>
    <mergeCell ref="F33:N33"/>
    <mergeCell ref="F34:N34"/>
    <mergeCell ref="F35:N35"/>
    <mergeCell ref="F36:N36"/>
    <mergeCell ref="F37:N37"/>
    <mergeCell ref="F39:N3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3" manualBreakCount="3">
    <brk id="13" min="1" max="14" man="1"/>
    <brk id="23" min="1" max="14" man="1"/>
    <brk id="33" min="1" max="14" man="1"/>
  </rowBreak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0"/>
  <dimension ref="B2:O33"/>
  <sheetViews>
    <sheetView showGridLines="0" topLeftCell="A27" zoomScale="40" zoomScaleNormal="40" zoomScaleSheetLayoutView="55" workbookViewId="0">
      <selection activeCell="R7" sqref="R7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214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4"/>
      <c r="H4" s="64"/>
      <c r="I4" s="64"/>
      <c r="J4" s="64"/>
      <c r="K4" s="64"/>
      <c r="L4" s="64"/>
      <c r="M4" s="64"/>
      <c r="N4" s="64"/>
    </row>
    <row r="5" spans="2:15" ht="49.5" customHeight="1" x14ac:dyDescent="0.3">
      <c r="B5" s="36" t="s">
        <v>0</v>
      </c>
      <c r="C5" s="65" t="s">
        <v>20</v>
      </c>
      <c r="D5" s="65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52</v>
      </c>
      <c r="E6" s="41" t="s">
        <v>13</v>
      </c>
      <c r="F6" s="132" t="s">
        <v>803</v>
      </c>
      <c r="G6" s="132"/>
      <c r="H6" s="132"/>
      <c r="I6" s="132"/>
      <c r="J6" s="132"/>
      <c r="K6" s="132"/>
      <c r="L6" s="132"/>
      <c r="M6" s="132"/>
      <c r="N6" s="132"/>
      <c r="O6" s="80">
        <v>3</v>
      </c>
    </row>
    <row r="7" spans="2:15" s="10" customFormat="1" ht="206.25" customHeight="1" x14ac:dyDescent="0.3">
      <c r="B7" s="42">
        <v>2</v>
      </c>
      <c r="C7" s="41">
        <f t="shared" ref="C7:C31" si="0">IF(E7="공통",2.5,IF(E7="객관식",4,IF(E7="주관식",5,"")))</f>
        <v>4</v>
      </c>
      <c r="D7" s="41" t="s">
        <v>52</v>
      </c>
      <c r="E7" s="41" t="s">
        <v>13</v>
      </c>
      <c r="F7" s="132" t="s">
        <v>804</v>
      </c>
      <c r="G7" s="140"/>
      <c r="H7" s="140"/>
      <c r="I7" s="140"/>
      <c r="J7" s="140"/>
      <c r="K7" s="140"/>
      <c r="L7" s="140"/>
      <c r="M7" s="140"/>
      <c r="N7" s="141"/>
      <c r="O7" s="80">
        <v>2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52</v>
      </c>
      <c r="E8" s="41" t="s">
        <v>13</v>
      </c>
      <c r="F8" s="136" t="s">
        <v>805</v>
      </c>
      <c r="G8" s="137"/>
      <c r="H8" s="137"/>
      <c r="I8" s="137"/>
      <c r="J8" s="137"/>
      <c r="K8" s="137"/>
      <c r="L8" s="137"/>
      <c r="M8" s="137"/>
      <c r="N8" s="138"/>
      <c r="O8" s="81">
        <v>3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52</v>
      </c>
      <c r="E9" s="41" t="s">
        <v>13</v>
      </c>
      <c r="F9" s="132" t="s">
        <v>783</v>
      </c>
      <c r="G9" s="132"/>
      <c r="H9" s="132"/>
      <c r="I9" s="132"/>
      <c r="J9" s="132"/>
      <c r="K9" s="132"/>
      <c r="L9" s="132"/>
      <c r="M9" s="132"/>
      <c r="N9" s="132"/>
      <c r="O9" s="80">
        <v>3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52</v>
      </c>
      <c r="E10" s="41" t="s">
        <v>13</v>
      </c>
      <c r="F10" s="132" t="s">
        <v>775</v>
      </c>
      <c r="G10" s="132"/>
      <c r="H10" s="132"/>
      <c r="I10" s="132"/>
      <c r="J10" s="132"/>
      <c r="K10" s="132"/>
      <c r="L10" s="132"/>
      <c r="M10" s="132"/>
      <c r="N10" s="132"/>
      <c r="O10" s="80">
        <v>3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52</v>
      </c>
      <c r="E11" s="41" t="s">
        <v>13</v>
      </c>
      <c r="F11" s="132" t="s">
        <v>806</v>
      </c>
      <c r="G11" s="132"/>
      <c r="H11" s="132"/>
      <c r="I11" s="132"/>
      <c r="J11" s="132"/>
      <c r="K11" s="132"/>
      <c r="L11" s="132"/>
      <c r="M11" s="132"/>
      <c r="N11" s="132"/>
      <c r="O11" s="80">
        <v>2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52</v>
      </c>
      <c r="E12" s="41" t="s">
        <v>13</v>
      </c>
      <c r="F12" s="132" t="s">
        <v>774</v>
      </c>
      <c r="G12" s="132"/>
      <c r="H12" s="132"/>
      <c r="I12" s="132"/>
      <c r="J12" s="132"/>
      <c r="K12" s="132"/>
      <c r="L12" s="132"/>
      <c r="M12" s="132"/>
      <c r="N12" s="132"/>
      <c r="O12" s="79">
        <v>4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52</v>
      </c>
      <c r="E13" s="41" t="s">
        <v>13</v>
      </c>
      <c r="F13" s="132" t="s">
        <v>807</v>
      </c>
      <c r="G13" s="132"/>
      <c r="H13" s="132"/>
      <c r="I13" s="132"/>
      <c r="J13" s="132"/>
      <c r="K13" s="132"/>
      <c r="L13" s="132"/>
      <c r="M13" s="132"/>
      <c r="N13" s="132"/>
      <c r="O13" s="80">
        <v>4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52</v>
      </c>
      <c r="E14" s="41" t="s">
        <v>2</v>
      </c>
      <c r="F14" s="132" t="s">
        <v>808</v>
      </c>
      <c r="G14" s="132"/>
      <c r="H14" s="132"/>
      <c r="I14" s="132"/>
      <c r="J14" s="132"/>
      <c r="K14" s="132"/>
      <c r="L14" s="132"/>
      <c r="M14" s="132"/>
      <c r="N14" s="132"/>
      <c r="O14" s="80">
        <v>2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52</v>
      </c>
      <c r="E15" s="41" t="s">
        <v>13</v>
      </c>
      <c r="F15" s="132" t="s">
        <v>809</v>
      </c>
      <c r="G15" s="132"/>
      <c r="H15" s="132"/>
      <c r="I15" s="132"/>
      <c r="J15" s="132"/>
      <c r="K15" s="132"/>
      <c r="L15" s="132"/>
      <c r="M15" s="132"/>
      <c r="N15" s="132"/>
      <c r="O15" s="80">
        <v>3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52</v>
      </c>
      <c r="E16" s="41" t="s">
        <v>13</v>
      </c>
      <c r="F16" s="132" t="s">
        <v>782</v>
      </c>
      <c r="G16" s="132"/>
      <c r="H16" s="132"/>
      <c r="I16" s="132"/>
      <c r="J16" s="132"/>
      <c r="K16" s="132"/>
      <c r="L16" s="132"/>
      <c r="M16" s="132"/>
      <c r="N16" s="132"/>
      <c r="O16" s="80">
        <v>4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52</v>
      </c>
      <c r="E17" s="41" t="s">
        <v>13</v>
      </c>
      <c r="F17" s="135" t="s">
        <v>810</v>
      </c>
      <c r="G17" s="132"/>
      <c r="H17" s="132"/>
      <c r="I17" s="132"/>
      <c r="J17" s="132"/>
      <c r="K17" s="132"/>
      <c r="L17" s="132"/>
      <c r="M17" s="132"/>
      <c r="N17" s="132"/>
      <c r="O17" s="79">
        <v>3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52</v>
      </c>
      <c r="E18" s="41" t="s">
        <v>13</v>
      </c>
      <c r="F18" s="132" t="s">
        <v>811</v>
      </c>
      <c r="G18" s="132"/>
      <c r="H18" s="132"/>
      <c r="I18" s="132"/>
      <c r="J18" s="132"/>
      <c r="K18" s="132"/>
      <c r="L18" s="132"/>
      <c r="M18" s="132"/>
      <c r="N18" s="132"/>
      <c r="O18" s="79">
        <v>4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52</v>
      </c>
      <c r="E19" s="41" t="s">
        <v>2</v>
      </c>
      <c r="F19" s="132" t="s">
        <v>812</v>
      </c>
      <c r="G19" s="132"/>
      <c r="H19" s="132"/>
      <c r="I19" s="132"/>
      <c r="J19" s="132"/>
      <c r="K19" s="132"/>
      <c r="L19" s="132"/>
      <c r="M19" s="132"/>
      <c r="N19" s="132"/>
      <c r="O19" s="79">
        <v>3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52</v>
      </c>
      <c r="E20" s="41" t="s">
        <v>13</v>
      </c>
      <c r="F20" s="132" t="s">
        <v>785</v>
      </c>
      <c r="G20" s="132"/>
      <c r="H20" s="132"/>
      <c r="I20" s="132"/>
      <c r="J20" s="132"/>
      <c r="K20" s="132"/>
      <c r="L20" s="132"/>
      <c r="M20" s="132"/>
      <c r="N20" s="132"/>
      <c r="O20" s="79">
        <v>2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52</v>
      </c>
      <c r="E21" s="41" t="s">
        <v>13</v>
      </c>
      <c r="F21" s="132" t="s">
        <v>813</v>
      </c>
      <c r="G21" s="132"/>
      <c r="H21" s="132"/>
      <c r="I21" s="132"/>
      <c r="J21" s="132"/>
      <c r="K21" s="132"/>
      <c r="L21" s="132"/>
      <c r="M21" s="132"/>
      <c r="N21" s="132"/>
      <c r="O21" s="80">
        <v>4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52</v>
      </c>
      <c r="E22" s="41" t="s">
        <v>13</v>
      </c>
      <c r="F22" s="132" t="s">
        <v>787</v>
      </c>
      <c r="G22" s="132"/>
      <c r="H22" s="132"/>
      <c r="I22" s="132"/>
      <c r="J22" s="132"/>
      <c r="K22" s="132"/>
      <c r="L22" s="132"/>
      <c r="M22" s="132"/>
      <c r="N22" s="132"/>
      <c r="O22" s="80">
        <v>4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52</v>
      </c>
      <c r="E23" s="41" t="s">
        <v>13</v>
      </c>
      <c r="F23" s="132" t="s">
        <v>814</v>
      </c>
      <c r="G23" s="132"/>
      <c r="H23" s="132"/>
      <c r="I23" s="132"/>
      <c r="J23" s="132"/>
      <c r="K23" s="132"/>
      <c r="L23" s="132"/>
      <c r="M23" s="132"/>
      <c r="N23" s="132"/>
      <c r="O23" s="80">
        <v>4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52</v>
      </c>
      <c r="E24" s="41" t="s">
        <v>13</v>
      </c>
      <c r="F24" s="132" t="s">
        <v>815</v>
      </c>
      <c r="G24" s="132"/>
      <c r="H24" s="132"/>
      <c r="I24" s="132"/>
      <c r="J24" s="132"/>
      <c r="K24" s="132"/>
      <c r="L24" s="132"/>
      <c r="M24" s="132"/>
      <c r="N24" s="132"/>
      <c r="O24" s="80">
        <v>3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52</v>
      </c>
      <c r="E25" s="41" t="s">
        <v>13</v>
      </c>
      <c r="F25" s="132" t="s">
        <v>789</v>
      </c>
      <c r="G25" s="132"/>
      <c r="H25" s="132"/>
      <c r="I25" s="132"/>
      <c r="J25" s="132"/>
      <c r="K25" s="132"/>
      <c r="L25" s="132"/>
      <c r="M25" s="132"/>
      <c r="N25" s="132"/>
      <c r="O25" s="96">
        <v>2</v>
      </c>
    </row>
    <row r="26" spans="2:15" s="10" customFormat="1" ht="207" customHeight="1" x14ac:dyDescent="0.3">
      <c r="B26" s="42">
        <v>21.22</v>
      </c>
      <c r="C26" s="41">
        <f t="shared" si="0"/>
        <v>5</v>
      </c>
      <c r="D26" s="41" t="s">
        <v>52</v>
      </c>
      <c r="E26" s="41" t="s">
        <v>16</v>
      </c>
      <c r="F26" s="132" t="s">
        <v>955</v>
      </c>
      <c r="G26" s="133"/>
      <c r="H26" s="133"/>
      <c r="I26" s="133"/>
      <c r="J26" s="133"/>
      <c r="K26" s="133"/>
      <c r="L26" s="133"/>
      <c r="M26" s="133"/>
      <c r="N26" s="133"/>
      <c r="O26" s="80" t="s">
        <v>218</v>
      </c>
    </row>
    <row r="27" spans="2:15" s="10" customFormat="1" ht="207" customHeight="1" x14ac:dyDescent="0.3">
      <c r="B27" s="42">
        <v>23</v>
      </c>
      <c r="C27" s="41">
        <f t="shared" si="0"/>
        <v>5</v>
      </c>
      <c r="D27" s="41" t="s">
        <v>52</v>
      </c>
      <c r="E27" s="41" t="s">
        <v>16</v>
      </c>
      <c r="F27" s="135" t="s">
        <v>217</v>
      </c>
      <c r="G27" s="132"/>
      <c r="H27" s="132"/>
      <c r="I27" s="132"/>
      <c r="J27" s="132"/>
      <c r="K27" s="132"/>
      <c r="L27" s="132"/>
      <c r="M27" s="132"/>
      <c r="N27" s="132"/>
      <c r="O27" s="80" t="s">
        <v>219</v>
      </c>
    </row>
    <row r="28" spans="2:15" s="10" customFormat="1" ht="207" customHeight="1" x14ac:dyDescent="0.3">
      <c r="B28" s="42">
        <v>24</v>
      </c>
      <c r="C28" s="41">
        <f t="shared" si="0"/>
        <v>5</v>
      </c>
      <c r="D28" s="41" t="s">
        <v>52</v>
      </c>
      <c r="E28" s="41" t="s">
        <v>16</v>
      </c>
      <c r="F28" s="135" t="s">
        <v>496</v>
      </c>
      <c r="G28" s="132"/>
      <c r="H28" s="132"/>
      <c r="I28" s="132"/>
      <c r="J28" s="132"/>
      <c r="K28" s="132"/>
      <c r="L28" s="132"/>
      <c r="M28" s="132"/>
      <c r="N28" s="132"/>
      <c r="O28" s="80" t="s">
        <v>220</v>
      </c>
    </row>
    <row r="29" spans="2:15" s="10" customFormat="1" ht="207" customHeight="1" x14ac:dyDescent="0.3">
      <c r="B29" s="42">
        <v>25</v>
      </c>
      <c r="C29" s="41">
        <f t="shared" si="0"/>
        <v>2.5</v>
      </c>
      <c r="D29" s="41" t="s">
        <v>52</v>
      </c>
      <c r="E29" s="41" t="s">
        <v>25</v>
      </c>
      <c r="F29" s="132" t="s">
        <v>956</v>
      </c>
      <c r="G29" s="132"/>
      <c r="H29" s="132"/>
      <c r="I29" s="132"/>
      <c r="J29" s="132"/>
      <c r="K29" s="132"/>
      <c r="L29" s="132"/>
      <c r="M29" s="132"/>
      <c r="N29" s="132"/>
      <c r="O29" s="80" t="s">
        <v>221</v>
      </c>
    </row>
    <row r="30" spans="2:15" s="10" customFormat="1" ht="207" customHeight="1" x14ac:dyDescent="0.3">
      <c r="B30" s="42">
        <v>26</v>
      </c>
      <c r="C30" s="41">
        <f t="shared" si="0"/>
        <v>2.5</v>
      </c>
      <c r="D30" s="41" t="s">
        <v>52</v>
      </c>
      <c r="E30" s="41" t="s">
        <v>25</v>
      </c>
      <c r="F30" s="132" t="s">
        <v>792</v>
      </c>
      <c r="G30" s="132"/>
      <c r="H30" s="132"/>
      <c r="I30" s="132"/>
      <c r="J30" s="132"/>
      <c r="K30" s="132"/>
      <c r="L30" s="132"/>
      <c r="M30" s="132"/>
      <c r="N30" s="132"/>
      <c r="O30" s="79">
        <v>3</v>
      </c>
    </row>
    <row r="31" spans="2:15" s="10" customFormat="1" ht="207" customHeight="1" x14ac:dyDescent="0.3">
      <c r="B31" s="42">
        <v>27</v>
      </c>
      <c r="C31" s="41">
        <f t="shared" si="0"/>
        <v>2.5</v>
      </c>
      <c r="D31" s="66" t="s">
        <v>52</v>
      </c>
      <c r="E31" s="41" t="s">
        <v>25</v>
      </c>
      <c r="F31" s="132" t="s">
        <v>793</v>
      </c>
      <c r="G31" s="132"/>
      <c r="H31" s="132"/>
      <c r="I31" s="132"/>
      <c r="J31" s="132"/>
      <c r="K31" s="132"/>
      <c r="L31" s="132"/>
      <c r="M31" s="132"/>
      <c r="N31" s="132"/>
      <c r="O31" s="96">
        <v>3</v>
      </c>
    </row>
    <row r="32" spans="2:15" s="10" customFormat="1" ht="207" customHeight="1" x14ac:dyDescent="0.3">
      <c r="O32" s="100"/>
    </row>
    <row r="33" spans="15:15" s="10" customFormat="1" ht="207" customHeight="1" x14ac:dyDescent="0.3">
      <c r="O33" s="100"/>
    </row>
  </sheetData>
  <mergeCells count="29">
    <mergeCell ref="F27:N27"/>
    <mergeCell ref="F28:N28"/>
    <mergeCell ref="F29:N29"/>
    <mergeCell ref="F30:N30"/>
    <mergeCell ref="F31:N31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1"/>
  <dimension ref="B2:O33"/>
  <sheetViews>
    <sheetView showGridLines="0" topLeftCell="A29" zoomScale="40" zoomScaleNormal="40" zoomScaleSheetLayoutView="55" workbookViewId="0">
      <selection activeCell="F28" sqref="F28:N28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222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7"/>
      <c r="H4" s="67"/>
      <c r="I4" s="67"/>
      <c r="J4" s="67"/>
      <c r="K4" s="67"/>
      <c r="L4" s="67"/>
      <c r="M4" s="67"/>
      <c r="N4" s="67"/>
    </row>
    <row r="5" spans="2:15" ht="49.5" customHeight="1" x14ac:dyDescent="0.3">
      <c r="B5" s="36" t="s">
        <v>0</v>
      </c>
      <c r="C5" s="68" t="s">
        <v>20</v>
      </c>
      <c r="D5" s="68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5</v>
      </c>
      <c r="E6" s="41" t="s">
        <v>13</v>
      </c>
      <c r="F6" s="132" t="s">
        <v>816</v>
      </c>
      <c r="G6" s="132"/>
      <c r="H6" s="132"/>
      <c r="I6" s="132"/>
      <c r="J6" s="132"/>
      <c r="K6" s="132"/>
      <c r="L6" s="132"/>
      <c r="M6" s="132"/>
      <c r="N6" s="132"/>
      <c r="O6" s="80">
        <v>4</v>
      </c>
    </row>
    <row r="7" spans="2:15" s="10" customFormat="1" ht="206.25" customHeight="1" x14ac:dyDescent="0.3">
      <c r="B7" s="42">
        <v>2</v>
      </c>
      <c r="C7" s="41">
        <f t="shared" ref="C7:C32" si="0">IF(E7="공통",2.5,IF(E7="객관식",4,IF(E7="주관식",5,"")))</f>
        <v>4</v>
      </c>
      <c r="D7" s="41" t="s">
        <v>5</v>
      </c>
      <c r="E7" s="41" t="s">
        <v>13</v>
      </c>
      <c r="F7" s="132" t="s">
        <v>817</v>
      </c>
      <c r="G7" s="140"/>
      <c r="H7" s="140"/>
      <c r="I7" s="140"/>
      <c r="J7" s="140"/>
      <c r="K7" s="140"/>
      <c r="L7" s="140"/>
      <c r="M7" s="140"/>
      <c r="N7" s="141"/>
      <c r="O7" s="80">
        <v>4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5</v>
      </c>
      <c r="E8" s="41" t="s">
        <v>13</v>
      </c>
      <c r="F8" s="136" t="s">
        <v>818</v>
      </c>
      <c r="G8" s="137"/>
      <c r="H8" s="137"/>
      <c r="I8" s="137"/>
      <c r="J8" s="137"/>
      <c r="K8" s="137"/>
      <c r="L8" s="137"/>
      <c r="M8" s="137"/>
      <c r="N8" s="138"/>
      <c r="O8" s="80">
        <v>2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5</v>
      </c>
      <c r="E9" s="41" t="s">
        <v>13</v>
      </c>
      <c r="F9" s="132" t="s">
        <v>819</v>
      </c>
      <c r="G9" s="132"/>
      <c r="H9" s="132"/>
      <c r="I9" s="132"/>
      <c r="J9" s="132"/>
      <c r="K9" s="132"/>
      <c r="L9" s="132"/>
      <c r="M9" s="132"/>
      <c r="N9" s="132"/>
      <c r="O9" s="80">
        <v>4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</v>
      </c>
      <c r="E10" s="41" t="s">
        <v>13</v>
      </c>
      <c r="F10" s="132" t="s">
        <v>820</v>
      </c>
      <c r="G10" s="132"/>
      <c r="H10" s="132"/>
      <c r="I10" s="132"/>
      <c r="J10" s="132"/>
      <c r="K10" s="132"/>
      <c r="L10" s="132"/>
      <c r="M10" s="132"/>
      <c r="N10" s="132"/>
      <c r="O10" s="80">
        <v>4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5</v>
      </c>
      <c r="E11" s="41" t="s">
        <v>13</v>
      </c>
      <c r="F11" s="132" t="s">
        <v>729</v>
      </c>
      <c r="G11" s="132"/>
      <c r="H11" s="132"/>
      <c r="I11" s="132"/>
      <c r="J11" s="132"/>
      <c r="K11" s="132"/>
      <c r="L11" s="132"/>
      <c r="M11" s="132"/>
      <c r="N11" s="132"/>
      <c r="O11" s="80">
        <v>2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</v>
      </c>
      <c r="E12" s="41" t="s">
        <v>13</v>
      </c>
      <c r="F12" s="132" t="s">
        <v>653</v>
      </c>
      <c r="G12" s="132"/>
      <c r="H12" s="132"/>
      <c r="I12" s="132"/>
      <c r="J12" s="132"/>
      <c r="K12" s="132"/>
      <c r="L12" s="132"/>
      <c r="M12" s="132"/>
      <c r="N12" s="132"/>
      <c r="O12" s="80">
        <v>4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5</v>
      </c>
      <c r="E13" s="41" t="s">
        <v>13</v>
      </c>
      <c r="F13" s="132" t="s">
        <v>821</v>
      </c>
      <c r="G13" s="132"/>
      <c r="H13" s="132"/>
      <c r="I13" s="132"/>
      <c r="J13" s="132"/>
      <c r="K13" s="132"/>
      <c r="L13" s="132"/>
      <c r="M13" s="132"/>
      <c r="N13" s="132"/>
      <c r="O13" s="80">
        <v>1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5</v>
      </c>
      <c r="E14" s="41" t="s">
        <v>2</v>
      </c>
      <c r="F14" s="132" t="s">
        <v>822</v>
      </c>
      <c r="G14" s="132"/>
      <c r="H14" s="132"/>
      <c r="I14" s="132"/>
      <c r="J14" s="132"/>
      <c r="K14" s="132"/>
      <c r="L14" s="132"/>
      <c r="M14" s="132"/>
      <c r="N14" s="132"/>
      <c r="O14" s="80">
        <v>1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</v>
      </c>
      <c r="E15" s="41" t="s">
        <v>13</v>
      </c>
      <c r="F15" s="132" t="s">
        <v>823</v>
      </c>
      <c r="G15" s="132"/>
      <c r="H15" s="132"/>
      <c r="I15" s="132"/>
      <c r="J15" s="132"/>
      <c r="K15" s="132"/>
      <c r="L15" s="132"/>
      <c r="M15" s="132"/>
      <c r="N15" s="132"/>
      <c r="O15" s="80">
        <v>3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5</v>
      </c>
      <c r="E16" s="41" t="s">
        <v>13</v>
      </c>
      <c r="F16" s="132" t="s">
        <v>824</v>
      </c>
      <c r="G16" s="132"/>
      <c r="H16" s="132"/>
      <c r="I16" s="132"/>
      <c r="J16" s="132"/>
      <c r="K16" s="132"/>
      <c r="L16" s="132"/>
      <c r="M16" s="132"/>
      <c r="N16" s="132"/>
      <c r="O16" s="80">
        <v>4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</v>
      </c>
      <c r="E17" s="41" t="s">
        <v>13</v>
      </c>
      <c r="F17" s="135" t="s">
        <v>825</v>
      </c>
      <c r="G17" s="132"/>
      <c r="H17" s="132"/>
      <c r="I17" s="132"/>
      <c r="J17" s="132"/>
      <c r="K17" s="132"/>
      <c r="L17" s="132"/>
      <c r="M17" s="132"/>
      <c r="N17" s="132"/>
      <c r="O17" s="80">
        <v>1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</v>
      </c>
      <c r="E18" s="41" t="s">
        <v>13</v>
      </c>
      <c r="F18" s="132" t="s">
        <v>826</v>
      </c>
      <c r="G18" s="132"/>
      <c r="H18" s="132"/>
      <c r="I18" s="132"/>
      <c r="J18" s="132"/>
      <c r="K18" s="132"/>
      <c r="L18" s="132"/>
      <c r="M18" s="132"/>
      <c r="N18" s="132"/>
      <c r="O18" s="80">
        <v>4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</v>
      </c>
      <c r="E19" s="41" t="s">
        <v>2</v>
      </c>
      <c r="F19" s="132" t="s">
        <v>827</v>
      </c>
      <c r="G19" s="132"/>
      <c r="H19" s="132"/>
      <c r="I19" s="132"/>
      <c r="J19" s="132"/>
      <c r="K19" s="132"/>
      <c r="L19" s="132"/>
      <c r="M19" s="132"/>
      <c r="N19" s="132"/>
      <c r="O19" s="80">
        <v>2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5</v>
      </c>
      <c r="E20" s="41" t="s">
        <v>13</v>
      </c>
      <c r="F20" s="132" t="s">
        <v>828</v>
      </c>
      <c r="G20" s="132"/>
      <c r="H20" s="132"/>
      <c r="I20" s="132"/>
      <c r="J20" s="132"/>
      <c r="K20" s="132"/>
      <c r="L20" s="132"/>
      <c r="M20" s="132"/>
      <c r="N20" s="132"/>
      <c r="O20" s="79">
        <v>2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5</v>
      </c>
      <c r="E21" s="41" t="s">
        <v>13</v>
      </c>
      <c r="F21" s="132" t="s">
        <v>829</v>
      </c>
      <c r="G21" s="132"/>
      <c r="H21" s="132"/>
      <c r="I21" s="132"/>
      <c r="J21" s="132"/>
      <c r="K21" s="132"/>
      <c r="L21" s="132"/>
      <c r="M21" s="132"/>
      <c r="N21" s="132"/>
      <c r="O21" s="80">
        <v>2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</v>
      </c>
      <c r="E22" s="41" t="s">
        <v>13</v>
      </c>
      <c r="F22" s="132" t="s">
        <v>830</v>
      </c>
      <c r="G22" s="132"/>
      <c r="H22" s="132"/>
      <c r="I22" s="132"/>
      <c r="J22" s="132"/>
      <c r="K22" s="132"/>
      <c r="L22" s="132"/>
      <c r="M22" s="132"/>
      <c r="N22" s="132"/>
      <c r="O22" s="80">
        <v>4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</v>
      </c>
      <c r="E23" s="41" t="s">
        <v>13</v>
      </c>
      <c r="F23" s="132" t="s">
        <v>831</v>
      </c>
      <c r="G23" s="132"/>
      <c r="H23" s="132"/>
      <c r="I23" s="132"/>
      <c r="J23" s="132"/>
      <c r="K23" s="132"/>
      <c r="L23" s="132"/>
      <c r="M23" s="132"/>
      <c r="N23" s="132"/>
      <c r="O23" s="80">
        <v>3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</v>
      </c>
      <c r="E24" s="41" t="s">
        <v>13</v>
      </c>
      <c r="F24" s="132" t="s">
        <v>832</v>
      </c>
      <c r="G24" s="132"/>
      <c r="H24" s="132"/>
      <c r="I24" s="132"/>
      <c r="J24" s="132"/>
      <c r="K24" s="132"/>
      <c r="L24" s="132"/>
      <c r="M24" s="132"/>
      <c r="N24" s="132"/>
      <c r="O24" s="80">
        <v>4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5</v>
      </c>
      <c r="E25" s="41" t="s">
        <v>13</v>
      </c>
      <c r="F25" s="132" t="s">
        <v>833</v>
      </c>
      <c r="G25" s="132"/>
      <c r="H25" s="132"/>
      <c r="I25" s="132"/>
      <c r="J25" s="132"/>
      <c r="K25" s="132"/>
      <c r="L25" s="132"/>
      <c r="M25" s="132"/>
      <c r="N25" s="132"/>
      <c r="O25" s="96">
        <v>1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5</v>
      </c>
      <c r="E26" s="41" t="s">
        <v>16</v>
      </c>
      <c r="F26" s="132" t="s">
        <v>961</v>
      </c>
      <c r="G26" s="132"/>
      <c r="H26" s="132"/>
      <c r="I26" s="132"/>
      <c r="J26" s="132"/>
      <c r="K26" s="132"/>
      <c r="L26" s="132"/>
      <c r="M26" s="132"/>
      <c r="N26" s="132"/>
      <c r="O26" s="80" t="s">
        <v>132</v>
      </c>
    </row>
    <row r="27" spans="2:15" s="10" customFormat="1" ht="222" customHeight="1" x14ac:dyDescent="0.3">
      <c r="B27" s="42">
        <v>22</v>
      </c>
      <c r="C27" s="41">
        <f t="shared" ref="C27" si="1">IF(E27="공통",2.5,IF(E27="객관식",4,IF(E27="주관식",5,"")))</f>
        <v>5</v>
      </c>
      <c r="D27" s="41" t="s">
        <v>5</v>
      </c>
      <c r="E27" s="41" t="s">
        <v>3</v>
      </c>
      <c r="F27" s="132" t="s">
        <v>960</v>
      </c>
      <c r="G27" s="132"/>
      <c r="H27" s="132"/>
      <c r="I27" s="132"/>
      <c r="J27" s="132"/>
      <c r="K27" s="132"/>
      <c r="L27" s="132"/>
      <c r="M27" s="132"/>
      <c r="N27" s="132"/>
      <c r="O27" s="80" t="s">
        <v>497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5</v>
      </c>
      <c r="E28" s="41" t="s">
        <v>16</v>
      </c>
      <c r="F28" s="135" t="s">
        <v>957</v>
      </c>
      <c r="G28" s="132"/>
      <c r="H28" s="132"/>
      <c r="I28" s="132"/>
      <c r="J28" s="132"/>
      <c r="K28" s="132"/>
      <c r="L28" s="132"/>
      <c r="M28" s="132"/>
      <c r="N28" s="132"/>
      <c r="O28" s="80" t="s">
        <v>498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5</v>
      </c>
      <c r="E29" s="41" t="s">
        <v>16</v>
      </c>
      <c r="F29" s="135" t="s">
        <v>499</v>
      </c>
      <c r="G29" s="132"/>
      <c r="H29" s="132"/>
      <c r="I29" s="132"/>
      <c r="J29" s="132"/>
      <c r="K29" s="132"/>
      <c r="L29" s="132"/>
      <c r="M29" s="132"/>
      <c r="N29" s="132"/>
      <c r="O29" s="80" t="s">
        <v>225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5</v>
      </c>
      <c r="E30" s="41" t="s">
        <v>16</v>
      </c>
      <c r="F30" s="132" t="s">
        <v>226</v>
      </c>
      <c r="G30" s="132"/>
      <c r="H30" s="132"/>
      <c r="I30" s="132"/>
      <c r="J30" s="132"/>
      <c r="K30" s="132"/>
      <c r="L30" s="132"/>
      <c r="M30" s="132"/>
      <c r="N30" s="132"/>
      <c r="O30" s="80" t="s">
        <v>227</v>
      </c>
    </row>
    <row r="31" spans="2:15" s="10" customFormat="1" ht="207" customHeight="1" x14ac:dyDescent="0.3">
      <c r="B31" s="42">
        <v>26</v>
      </c>
      <c r="C31" s="41">
        <f t="shared" si="0"/>
        <v>2.5</v>
      </c>
      <c r="D31" s="41" t="s">
        <v>5</v>
      </c>
      <c r="E31" s="41" t="s">
        <v>25</v>
      </c>
      <c r="F31" s="132" t="s">
        <v>355</v>
      </c>
      <c r="G31" s="132"/>
      <c r="H31" s="132"/>
      <c r="I31" s="132"/>
      <c r="J31" s="132"/>
      <c r="K31" s="132"/>
      <c r="L31" s="132"/>
      <c r="M31" s="132"/>
      <c r="N31" s="132"/>
      <c r="O31" s="80">
        <v>3</v>
      </c>
    </row>
    <row r="32" spans="2:15" s="10" customFormat="1" ht="207" customHeight="1" x14ac:dyDescent="0.3">
      <c r="B32" s="42">
        <v>27</v>
      </c>
      <c r="C32" s="41">
        <f t="shared" si="0"/>
        <v>2.5</v>
      </c>
      <c r="D32" s="41" t="s">
        <v>5</v>
      </c>
      <c r="E32" s="41" t="s">
        <v>25</v>
      </c>
      <c r="F32" s="134" t="s">
        <v>356</v>
      </c>
      <c r="G32" s="134"/>
      <c r="H32" s="134"/>
      <c r="I32" s="134"/>
      <c r="J32" s="134"/>
      <c r="K32" s="134"/>
      <c r="L32" s="134"/>
      <c r="M32" s="134"/>
      <c r="N32" s="134"/>
      <c r="O32" s="84">
        <v>3</v>
      </c>
    </row>
    <row r="33" spans="2:15" s="10" customFormat="1" ht="207" customHeight="1" x14ac:dyDescent="0.3">
      <c r="B33" s="9"/>
      <c r="O33" s="100"/>
    </row>
  </sheetData>
  <mergeCells count="30">
    <mergeCell ref="F8:N8"/>
    <mergeCell ref="B3:O3"/>
    <mergeCell ref="C4:F4"/>
    <mergeCell ref="F5:N5"/>
    <mergeCell ref="F6:N6"/>
    <mergeCell ref="F7:N7"/>
    <mergeCell ref="F32:N32"/>
    <mergeCell ref="F20:N20"/>
    <mergeCell ref="F9:N9"/>
    <mergeCell ref="F10:N10"/>
    <mergeCell ref="F11:N11"/>
    <mergeCell ref="F12:N12"/>
    <mergeCell ref="F13:N13"/>
    <mergeCell ref="F14:N14"/>
    <mergeCell ref="F15:N15"/>
    <mergeCell ref="F16:N16"/>
    <mergeCell ref="F17:N17"/>
    <mergeCell ref="F18:N18"/>
    <mergeCell ref="F19:N19"/>
    <mergeCell ref="F26:N26"/>
    <mergeCell ref="F28:N28"/>
    <mergeCell ref="F29:N29"/>
    <mergeCell ref="F30:N30"/>
    <mergeCell ref="F31:N31"/>
    <mergeCell ref="F21:N21"/>
    <mergeCell ref="F22:N22"/>
    <mergeCell ref="F23:N23"/>
    <mergeCell ref="F24:N24"/>
    <mergeCell ref="F25:N25"/>
    <mergeCell ref="F27:N27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2"/>
  <dimension ref="B2:O32"/>
  <sheetViews>
    <sheetView showGridLines="0" topLeftCell="A29" zoomScale="40" zoomScaleNormal="40" zoomScaleSheetLayoutView="55" workbookViewId="0">
      <selection activeCell="F31" sqref="F31:N31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223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7"/>
      <c r="H4" s="67"/>
      <c r="I4" s="67"/>
      <c r="J4" s="67"/>
      <c r="K4" s="67"/>
      <c r="L4" s="67"/>
      <c r="M4" s="67"/>
      <c r="N4" s="67"/>
    </row>
    <row r="5" spans="2:15" ht="49.5" customHeight="1" x14ac:dyDescent="0.3">
      <c r="B5" s="36" t="s">
        <v>0</v>
      </c>
      <c r="C5" s="68" t="s">
        <v>20</v>
      </c>
      <c r="D5" s="68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52</v>
      </c>
      <c r="E6" s="41" t="s">
        <v>13</v>
      </c>
      <c r="F6" s="132" t="s">
        <v>834</v>
      </c>
      <c r="G6" s="132"/>
      <c r="H6" s="132"/>
      <c r="I6" s="132"/>
      <c r="J6" s="132"/>
      <c r="K6" s="132"/>
      <c r="L6" s="132"/>
      <c r="M6" s="132"/>
      <c r="N6" s="132"/>
      <c r="O6" s="80">
        <v>3</v>
      </c>
    </row>
    <row r="7" spans="2:15" s="10" customFormat="1" ht="206.25" customHeight="1" x14ac:dyDescent="0.3">
      <c r="B7" s="42">
        <v>2</v>
      </c>
      <c r="C7" s="41">
        <f t="shared" ref="C7:C32" si="0">IF(E7="공통",2.5,IF(E7="객관식",4,IF(E7="주관식",5,"")))</f>
        <v>4</v>
      </c>
      <c r="D7" s="41" t="s">
        <v>52</v>
      </c>
      <c r="E7" s="41" t="s">
        <v>13</v>
      </c>
      <c r="F7" s="132" t="s">
        <v>835</v>
      </c>
      <c r="G7" s="140"/>
      <c r="H7" s="140"/>
      <c r="I7" s="140"/>
      <c r="J7" s="140"/>
      <c r="K7" s="140"/>
      <c r="L7" s="140"/>
      <c r="M7" s="140"/>
      <c r="N7" s="141"/>
      <c r="O7" s="80">
        <v>3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52</v>
      </c>
      <c r="E8" s="41" t="s">
        <v>13</v>
      </c>
      <c r="F8" s="136" t="s">
        <v>535</v>
      </c>
      <c r="G8" s="137"/>
      <c r="H8" s="137"/>
      <c r="I8" s="137"/>
      <c r="J8" s="137"/>
      <c r="K8" s="137"/>
      <c r="L8" s="137"/>
      <c r="M8" s="137"/>
      <c r="N8" s="138"/>
      <c r="O8" s="80">
        <v>2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52</v>
      </c>
      <c r="E9" s="41" t="s">
        <v>13</v>
      </c>
      <c r="F9" s="132" t="s">
        <v>816</v>
      </c>
      <c r="G9" s="132"/>
      <c r="H9" s="132"/>
      <c r="I9" s="132"/>
      <c r="J9" s="132"/>
      <c r="K9" s="132"/>
      <c r="L9" s="132"/>
      <c r="M9" s="132"/>
      <c r="N9" s="132"/>
      <c r="O9" s="80">
        <v>4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52</v>
      </c>
      <c r="E10" s="41" t="s">
        <v>13</v>
      </c>
      <c r="F10" s="132" t="s">
        <v>836</v>
      </c>
      <c r="G10" s="132"/>
      <c r="H10" s="132"/>
      <c r="I10" s="132"/>
      <c r="J10" s="132"/>
      <c r="K10" s="132"/>
      <c r="L10" s="132"/>
      <c r="M10" s="132"/>
      <c r="N10" s="132"/>
      <c r="O10" s="80">
        <v>2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52</v>
      </c>
      <c r="E11" s="41" t="s">
        <v>13</v>
      </c>
      <c r="F11" s="132" t="s">
        <v>828</v>
      </c>
      <c r="G11" s="132"/>
      <c r="H11" s="132"/>
      <c r="I11" s="132"/>
      <c r="J11" s="132"/>
      <c r="K11" s="132"/>
      <c r="L11" s="132"/>
      <c r="M11" s="132"/>
      <c r="N11" s="132"/>
      <c r="O11" s="80">
        <v>2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52</v>
      </c>
      <c r="E12" s="41" t="s">
        <v>13</v>
      </c>
      <c r="F12" s="132" t="s">
        <v>829</v>
      </c>
      <c r="G12" s="132"/>
      <c r="H12" s="132"/>
      <c r="I12" s="132"/>
      <c r="J12" s="132"/>
      <c r="K12" s="132"/>
      <c r="L12" s="132"/>
      <c r="M12" s="132"/>
      <c r="N12" s="132"/>
      <c r="O12" s="80">
        <v>2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52</v>
      </c>
      <c r="E13" s="41" t="s">
        <v>13</v>
      </c>
      <c r="F13" s="132" t="s">
        <v>826</v>
      </c>
      <c r="G13" s="132"/>
      <c r="H13" s="132"/>
      <c r="I13" s="132"/>
      <c r="J13" s="132"/>
      <c r="K13" s="132"/>
      <c r="L13" s="132"/>
      <c r="M13" s="132"/>
      <c r="N13" s="132"/>
      <c r="O13" s="80">
        <v>4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52</v>
      </c>
      <c r="E14" s="41" t="s">
        <v>2</v>
      </c>
      <c r="F14" s="132" t="s">
        <v>819</v>
      </c>
      <c r="G14" s="132"/>
      <c r="H14" s="132"/>
      <c r="I14" s="132"/>
      <c r="J14" s="132"/>
      <c r="K14" s="132"/>
      <c r="L14" s="132"/>
      <c r="M14" s="132"/>
      <c r="N14" s="132"/>
      <c r="O14" s="80">
        <v>4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52</v>
      </c>
      <c r="E15" s="41" t="s">
        <v>13</v>
      </c>
      <c r="F15" s="132" t="s">
        <v>837</v>
      </c>
      <c r="G15" s="132"/>
      <c r="H15" s="132"/>
      <c r="I15" s="132"/>
      <c r="J15" s="132"/>
      <c r="K15" s="132"/>
      <c r="L15" s="132"/>
      <c r="M15" s="132"/>
      <c r="N15" s="132"/>
      <c r="O15" s="80">
        <v>2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52</v>
      </c>
      <c r="E16" s="41" t="s">
        <v>13</v>
      </c>
      <c r="F16" s="132" t="s">
        <v>817</v>
      </c>
      <c r="G16" s="132"/>
      <c r="H16" s="132"/>
      <c r="I16" s="132"/>
      <c r="J16" s="132"/>
      <c r="K16" s="132"/>
      <c r="L16" s="132"/>
      <c r="M16" s="132"/>
      <c r="N16" s="132"/>
      <c r="O16" s="80">
        <v>4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52</v>
      </c>
      <c r="E17" s="41" t="s">
        <v>13</v>
      </c>
      <c r="F17" s="135" t="s">
        <v>838</v>
      </c>
      <c r="G17" s="132"/>
      <c r="H17" s="132"/>
      <c r="I17" s="132"/>
      <c r="J17" s="132"/>
      <c r="K17" s="132"/>
      <c r="L17" s="132"/>
      <c r="M17" s="132"/>
      <c r="N17" s="132"/>
      <c r="O17" s="80">
        <v>4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52</v>
      </c>
      <c r="E18" s="41" t="s">
        <v>13</v>
      </c>
      <c r="F18" s="132" t="s">
        <v>839</v>
      </c>
      <c r="G18" s="132"/>
      <c r="H18" s="132"/>
      <c r="I18" s="132"/>
      <c r="J18" s="132"/>
      <c r="K18" s="132"/>
      <c r="L18" s="132"/>
      <c r="M18" s="132"/>
      <c r="N18" s="132"/>
      <c r="O18" s="80">
        <v>1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52</v>
      </c>
      <c r="E19" s="41" t="s">
        <v>2</v>
      </c>
      <c r="F19" s="132" t="s">
        <v>840</v>
      </c>
      <c r="G19" s="132"/>
      <c r="H19" s="132"/>
      <c r="I19" s="132"/>
      <c r="J19" s="132"/>
      <c r="K19" s="132"/>
      <c r="L19" s="132"/>
      <c r="M19" s="132"/>
      <c r="N19" s="132"/>
      <c r="O19" s="80">
        <v>4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52</v>
      </c>
      <c r="E20" s="41" t="s">
        <v>13</v>
      </c>
      <c r="F20" s="132" t="s">
        <v>841</v>
      </c>
      <c r="G20" s="132"/>
      <c r="H20" s="132"/>
      <c r="I20" s="132"/>
      <c r="J20" s="132"/>
      <c r="K20" s="132"/>
      <c r="L20" s="132"/>
      <c r="M20" s="132"/>
      <c r="N20" s="132"/>
      <c r="O20" s="79">
        <v>3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52</v>
      </c>
      <c r="E21" s="41" t="s">
        <v>13</v>
      </c>
      <c r="F21" s="132" t="s">
        <v>821</v>
      </c>
      <c r="G21" s="132"/>
      <c r="H21" s="132"/>
      <c r="I21" s="132"/>
      <c r="J21" s="132"/>
      <c r="K21" s="132"/>
      <c r="L21" s="132"/>
      <c r="M21" s="132"/>
      <c r="N21" s="132"/>
      <c r="O21" s="80">
        <v>1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52</v>
      </c>
      <c r="E22" s="41" t="s">
        <v>13</v>
      </c>
      <c r="F22" s="132" t="s">
        <v>842</v>
      </c>
      <c r="G22" s="132"/>
      <c r="H22" s="132"/>
      <c r="I22" s="132"/>
      <c r="J22" s="132"/>
      <c r="K22" s="132"/>
      <c r="L22" s="132"/>
      <c r="M22" s="132"/>
      <c r="N22" s="132"/>
      <c r="O22" s="80">
        <v>1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52</v>
      </c>
      <c r="E23" s="41" t="s">
        <v>13</v>
      </c>
      <c r="F23" s="132" t="s">
        <v>825</v>
      </c>
      <c r="G23" s="132"/>
      <c r="H23" s="132"/>
      <c r="I23" s="132"/>
      <c r="J23" s="132"/>
      <c r="K23" s="132"/>
      <c r="L23" s="132"/>
      <c r="M23" s="132"/>
      <c r="N23" s="132"/>
      <c r="O23" s="80">
        <v>1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52</v>
      </c>
      <c r="E24" s="41" t="s">
        <v>13</v>
      </c>
      <c r="F24" s="132" t="s">
        <v>843</v>
      </c>
      <c r="G24" s="132"/>
      <c r="H24" s="132"/>
      <c r="I24" s="132"/>
      <c r="J24" s="132"/>
      <c r="K24" s="132"/>
      <c r="L24" s="132"/>
      <c r="M24" s="132"/>
      <c r="N24" s="132"/>
      <c r="O24" s="80">
        <v>3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52</v>
      </c>
      <c r="E25" s="41" t="s">
        <v>13</v>
      </c>
      <c r="F25" s="132" t="s">
        <v>844</v>
      </c>
      <c r="G25" s="132"/>
      <c r="H25" s="132"/>
      <c r="I25" s="132"/>
      <c r="J25" s="132"/>
      <c r="K25" s="132"/>
      <c r="L25" s="132"/>
      <c r="M25" s="132"/>
      <c r="N25" s="132"/>
      <c r="O25" s="96">
        <v>4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52</v>
      </c>
      <c r="E26" s="41" t="s">
        <v>16</v>
      </c>
      <c r="F26" s="132" t="s">
        <v>958</v>
      </c>
      <c r="G26" s="133"/>
      <c r="H26" s="133"/>
      <c r="I26" s="133"/>
      <c r="J26" s="133"/>
      <c r="K26" s="133"/>
      <c r="L26" s="133"/>
      <c r="M26" s="133"/>
      <c r="N26" s="133"/>
      <c r="O26" s="80" t="s">
        <v>228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52</v>
      </c>
      <c r="E27" s="41" t="s">
        <v>16</v>
      </c>
      <c r="F27" s="135" t="s">
        <v>224</v>
      </c>
      <c r="G27" s="132"/>
      <c r="H27" s="132"/>
      <c r="I27" s="132"/>
      <c r="J27" s="132"/>
      <c r="K27" s="132"/>
      <c r="L27" s="132"/>
      <c r="M27" s="132"/>
      <c r="N27" s="132"/>
      <c r="O27" s="80" t="s">
        <v>229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52</v>
      </c>
      <c r="E28" s="41" t="s">
        <v>16</v>
      </c>
      <c r="F28" s="135" t="s">
        <v>230</v>
      </c>
      <c r="G28" s="132"/>
      <c r="H28" s="132"/>
      <c r="I28" s="132"/>
      <c r="J28" s="132"/>
      <c r="K28" s="132"/>
      <c r="L28" s="132"/>
      <c r="M28" s="132"/>
      <c r="N28" s="132"/>
      <c r="O28" s="80" t="s">
        <v>231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52</v>
      </c>
      <c r="E29" s="41" t="s">
        <v>16</v>
      </c>
      <c r="F29" s="132" t="s">
        <v>959</v>
      </c>
      <c r="G29" s="132"/>
      <c r="H29" s="132"/>
      <c r="I29" s="132"/>
      <c r="J29" s="132"/>
      <c r="K29" s="132"/>
      <c r="L29" s="132"/>
      <c r="M29" s="132"/>
      <c r="N29" s="132"/>
      <c r="O29" s="80" t="s">
        <v>132</v>
      </c>
    </row>
    <row r="30" spans="2:15" s="10" customFormat="1" ht="246.75" customHeight="1" x14ac:dyDescent="0.3">
      <c r="B30" s="42">
        <v>25</v>
      </c>
      <c r="C30" s="41">
        <f t="shared" ref="C30" si="1">IF(E30="공통",2.5,IF(E30="객관식",4,IF(E30="주관식",5,"")))</f>
        <v>5</v>
      </c>
      <c r="D30" s="41" t="s">
        <v>52</v>
      </c>
      <c r="E30" s="41" t="s">
        <v>3</v>
      </c>
      <c r="F30" s="132" t="s">
        <v>960</v>
      </c>
      <c r="G30" s="132"/>
      <c r="H30" s="132"/>
      <c r="I30" s="132"/>
      <c r="J30" s="132"/>
      <c r="K30" s="132"/>
      <c r="L30" s="132"/>
      <c r="M30" s="132"/>
      <c r="N30" s="132"/>
      <c r="O30" s="80" t="s">
        <v>497</v>
      </c>
    </row>
    <row r="31" spans="2:15" s="10" customFormat="1" ht="207" customHeight="1" x14ac:dyDescent="0.3">
      <c r="B31" s="42">
        <v>26</v>
      </c>
      <c r="C31" s="41">
        <f t="shared" si="0"/>
        <v>2.5</v>
      </c>
      <c r="D31" s="41" t="s">
        <v>52</v>
      </c>
      <c r="E31" s="41" t="s">
        <v>25</v>
      </c>
      <c r="F31" s="136" t="s">
        <v>355</v>
      </c>
      <c r="G31" s="137"/>
      <c r="H31" s="137"/>
      <c r="I31" s="137"/>
      <c r="J31" s="137"/>
      <c r="K31" s="137"/>
      <c r="L31" s="137"/>
      <c r="M31" s="137"/>
      <c r="N31" s="138"/>
      <c r="O31" s="80">
        <v>3</v>
      </c>
    </row>
    <row r="32" spans="2:15" s="10" customFormat="1" ht="207" customHeight="1" x14ac:dyDescent="0.3">
      <c r="B32" s="42">
        <v>27</v>
      </c>
      <c r="C32" s="41">
        <f t="shared" si="0"/>
        <v>2.5</v>
      </c>
      <c r="D32" s="66" t="s">
        <v>52</v>
      </c>
      <c r="E32" s="41" t="s">
        <v>25</v>
      </c>
      <c r="F32" s="134" t="s">
        <v>356</v>
      </c>
      <c r="G32" s="134"/>
      <c r="H32" s="134"/>
      <c r="I32" s="134"/>
      <c r="J32" s="134"/>
      <c r="K32" s="134"/>
      <c r="L32" s="134"/>
      <c r="M32" s="134"/>
      <c r="N32" s="134"/>
      <c r="O32" s="84">
        <v>3</v>
      </c>
    </row>
  </sheetData>
  <mergeCells count="30"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27:N27"/>
    <mergeCell ref="F28:N28"/>
    <mergeCell ref="F29:N29"/>
    <mergeCell ref="F31:N31"/>
    <mergeCell ref="F32:N32"/>
    <mergeCell ref="F30:N3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3"/>
  <dimension ref="B2:O32"/>
  <sheetViews>
    <sheetView showGridLines="0" topLeftCell="A28" zoomScale="40" zoomScaleNormal="40" zoomScaleSheetLayoutView="55" workbookViewId="0">
      <selection activeCell="S1" sqref="S1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235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7"/>
      <c r="H4" s="67"/>
      <c r="I4" s="67"/>
      <c r="J4" s="67"/>
      <c r="K4" s="67"/>
      <c r="L4" s="67"/>
      <c r="M4" s="67"/>
      <c r="N4" s="67"/>
    </row>
    <row r="5" spans="2:15" ht="49.5" customHeight="1" x14ac:dyDescent="0.3">
      <c r="B5" s="36" t="s">
        <v>0</v>
      </c>
      <c r="C5" s="68" t="s">
        <v>20</v>
      </c>
      <c r="D5" s="68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13</v>
      </c>
      <c r="F6" s="132" t="s">
        <v>845</v>
      </c>
      <c r="G6" s="132"/>
      <c r="H6" s="132"/>
      <c r="I6" s="132"/>
      <c r="J6" s="132"/>
      <c r="K6" s="132"/>
      <c r="L6" s="132"/>
      <c r="M6" s="132"/>
      <c r="N6" s="132"/>
      <c r="O6" s="80">
        <v>3</v>
      </c>
    </row>
    <row r="7" spans="2:15" s="10" customFormat="1" ht="206.25" customHeight="1" x14ac:dyDescent="0.3">
      <c r="B7" s="42">
        <v>2</v>
      </c>
      <c r="C7" s="41">
        <f t="shared" ref="C7:C32" si="0">IF(E7="공통",2.5,IF(E7="객관식",4,IF(E7="주관식",5,"")))</f>
        <v>4</v>
      </c>
      <c r="D7" s="41" t="s">
        <v>14</v>
      </c>
      <c r="E7" s="41" t="s">
        <v>13</v>
      </c>
      <c r="F7" s="132" t="s">
        <v>846</v>
      </c>
      <c r="G7" s="140"/>
      <c r="H7" s="140"/>
      <c r="I7" s="140"/>
      <c r="J7" s="140"/>
      <c r="K7" s="140"/>
      <c r="L7" s="140"/>
      <c r="M7" s="140"/>
      <c r="N7" s="141"/>
      <c r="O7" s="80">
        <v>4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14</v>
      </c>
      <c r="E8" s="41" t="s">
        <v>13</v>
      </c>
      <c r="F8" s="136" t="s">
        <v>716</v>
      </c>
      <c r="G8" s="137"/>
      <c r="H8" s="137"/>
      <c r="I8" s="137"/>
      <c r="J8" s="137"/>
      <c r="K8" s="137"/>
      <c r="L8" s="137"/>
      <c r="M8" s="137"/>
      <c r="N8" s="138"/>
      <c r="O8" s="80">
        <v>3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14</v>
      </c>
      <c r="E9" s="41" t="s">
        <v>13</v>
      </c>
      <c r="F9" s="132" t="s">
        <v>847</v>
      </c>
      <c r="G9" s="132"/>
      <c r="H9" s="132"/>
      <c r="I9" s="132"/>
      <c r="J9" s="132"/>
      <c r="K9" s="132"/>
      <c r="L9" s="132"/>
      <c r="M9" s="132"/>
      <c r="N9" s="132"/>
      <c r="O9" s="80">
        <v>2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13</v>
      </c>
      <c r="F10" s="132" t="s">
        <v>614</v>
      </c>
      <c r="G10" s="132"/>
      <c r="H10" s="132"/>
      <c r="I10" s="132"/>
      <c r="J10" s="132"/>
      <c r="K10" s="132"/>
      <c r="L10" s="132"/>
      <c r="M10" s="132"/>
      <c r="N10" s="132"/>
      <c r="O10" s="80">
        <v>4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14</v>
      </c>
      <c r="E11" s="41" t="s">
        <v>13</v>
      </c>
      <c r="F11" s="132" t="s">
        <v>715</v>
      </c>
      <c r="G11" s="132"/>
      <c r="H11" s="132"/>
      <c r="I11" s="132"/>
      <c r="J11" s="132"/>
      <c r="K11" s="132"/>
      <c r="L11" s="132"/>
      <c r="M11" s="132"/>
      <c r="N11" s="132"/>
      <c r="O11" s="80">
        <v>3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13</v>
      </c>
      <c r="F12" s="132" t="s">
        <v>848</v>
      </c>
      <c r="G12" s="132"/>
      <c r="H12" s="132"/>
      <c r="I12" s="132"/>
      <c r="J12" s="132"/>
      <c r="K12" s="132"/>
      <c r="L12" s="132"/>
      <c r="M12" s="132"/>
      <c r="N12" s="132"/>
      <c r="O12" s="80">
        <v>3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13</v>
      </c>
      <c r="F13" s="132" t="s">
        <v>849</v>
      </c>
      <c r="G13" s="132"/>
      <c r="H13" s="132"/>
      <c r="I13" s="132"/>
      <c r="J13" s="132"/>
      <c r="K13" s="132"/>
      <c r="L13" s="132"/>
      <c r="M13" s="132"/>
      <c r="N13" s="132"/>
      <c r="O13" s="80">
        <v>2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2</v>
      </c>
      <c r="F14" s="132" t="s">
        <v>850</v>
      </c>
      <c r="G14" s="132"/>
      <c r="H14" s="132"/>
      <c r="I14" s="132"/>
      <c r="J14" s="132"/>
      <c r="K14" s="132"/>
      <c r="L14" s="132"/>
      <c r="M14" s="132"/>
      <c r="N14" s="132"/>
      <c r="O14" s="80">
        <v>3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13</v>
      </c>
      <c r="F15" s="132" t="s">
        <v>851</v>
      </c>
      <c r="G15" s="132"/>
      <c r="H15" s="132"/>
      <c r="I15" s="132"/>
      <c r="J15" s="132"/>
      <c r="K15" s="132"/>
      <c r="L15" s="132"/>
      <c r="M15" s="132"/>
      <c r="N15" s="132"/>
      <c r="O15" s="80">
        <v>1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13</v>
      </c>
      <c r="F16" s="132" t="s">
        <v>852</v>
      </c>
      <c r="G16" s="132"/>
      <c r="H16" s="132"/>
      <c r="I16" s="132"/>
      <c r="J16" s="132"/>
      <c r="K16" s="132"/>
      <c r="L16" s="132"/>
      <c r="M16" s="132"/>
      <c r="N16" s="132"/>
      <c r="O16" s="80">
        <v>2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13</v>
      </c>
      <c r="F17" s="135" t="s">
        <v>853</v>
      </c>
      <c r="G17" s="132"/>
      <c r="H17" s="132"/>
      <c r="I17" s="132"/>
      <c r="J17" s="132"/>
      <c r="K17" s="132"/>
      <c r="L17" s="132"/>
      <c r="M17" s="132"/>
      <c r="N17" s="132"/>
      <c r="O17" s="80">
        <v>2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13</v>
      </c>
      <c r="F18" s="132" t="s">
        <v>854</v>
      </c>
      <c r="G18" s="132"/>
      <c r="H18" s="132"/>
      <c r="I18" s="132"/>
      <c r="J18" s="132"/>
      <c r="K18" s="132"/>
      <c r="L18" s="132"/>
      <c r="M18" s="132"/>
      <c r="N18" s="132"/>
      <c r="O18" s="80">
        <v>1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2</v>
      </c>
      <c r="F19" s="132" t="s">
        <v>700</v>
      </c>
      <c r="G19" s="132"/>
      <c r="H19" s="132"/>
      <c r="I19" s="132"/>
      <c r="J19" s="132"/>
      <c r="K19" s="132"/>
      <c r="L19" s="132"/>
      <c r="M19" s="132"/>
      <c r="N19" s="132"/>
      <c r="O19" s="80">
        <v>3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13</v>
      </c>
      <c r="F20" s="132" t="s">
        <v>701</v>
      </c>
      <c r="G20" s="132"/>
      <c r="H20" s="132"/>
      <c r="I20" s="132"/>
      <c r="J20" s="132"/>
      <c r="K20" s="132"/>
      <c r="L20" s="132"/>
      <c r="M20" s="132"/>
      <c r="N20" s="132"/>
      <c r="O20" s="79">
        <v>3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13</v>
      </c>
      <c r="F21" s="132" t="s">
        <v>855</v>
      </c>
      <c r="G21" s="132"/>
      <c r="H21" s="132"/>
      <c r="I21" s="132"/>
      <c r="J21" s="132"/>
      <c r="K21" s="132"/>
      <c r="L21" s="132"/>
      <c r="M21" s="132"/>
      <c r="N21" s="132"/>
      <c r="O21" s="80">
        <v>4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13</v>
      </c>
      <c r="F22" s="132" t="s">
        <v>703</v>
      </c>
      <c r="G22" s="132"/>
      <c r="H22" s="132"/>
      <c r="I22" s="132"/>
      <c r="J22" s="132"/>
      <c r="K22" s="132"/>
      <c r="L22" s="132"/>
      <c r="M22" s="132"/>
      <c r="N22" s="132"/>
      <c r="O22" s="80">
        <v>1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14</v>
      </c>
      <c r="E23" s="41" t="s">
        <v>13</v>
      </c>
      <c r="F23" s="132" t="s">
        <v>856</v>
      </c>
      <c r="G23" s="132"/>
      <c r="H23" s="132"/>
      <c r="I23" s="132"/>
      <c r="J23" s="132"/>
      <c r="K23" s="132"/>
      <c r="L23" s="132"/>
      <c r="M23" s="132"/>
      <c r="N23" s="132"/>
      <c r="O23" s="80">
        <v>3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14</v>
      </c>
      <c r="E24" s="41" t="s">
        <v>13</v>
      </c>
      <c r="F24" s="132" t="s">
        <v>705</v>
      </c>
      <c r="G24" s="132"/>
      <c r="H24" s="132"/>
      <c r="I24" s="132"/>
      <c r="J24" s="132"/>
      <c r="K24" s="132"/>
      <c r="L24" s="132"/>
      <c r="M24" s="132"/>
      <c r="N24" s="132"/>
      <c r="O24" s="80">
        <v>1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14</v>
      </c>
      <c r="E25" s="41" t="s">
        <v>13</v>
      </c>
      <c r="F25" s="132" t="s">
        <v>706</v>
      </c>
      <c r="G25" s="132"/>
      <c r="H25" s="132"/>
      <c r="I25" s="132"/>
      <c r="J25" s="132"/>
      <c r="K25" s="132"/>
      <c r="L25" s="132"/>
      <c r="M25" s="132"/>
      <c r="N25" s="132"/>
      <c r="O25" s="96">
        <v>1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14</v>
      </c>
      <c r="E26" s="41" t="s">
        <v>16</v>
      </c>
      <c r="F26" s="132" t="s">
        <v>236</v>
      </c>
      <c r="G26" s="133"/>
      <c r="H26" s="133"/>
      <c r="I26" s="133"/>
      <c r="J26" s="133"/>
      <c r="K26" s="133"/>
      <c r="L26" s="133"/>
      <c r="M26" s="133"/>
      <c r="N26" s="133"/>
      <c r="O26" s="80" t="s">
        <v>181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14</v>
      </c>
      <c r="E27" s="41" t="s">
        <v>16</v>
      </c>
      <c r="F27" s="135" t="s">
        <v>237</v>
      </c>
      <c r="G27" s="132"/>
      <c r="H27" s="132"/>
      <c r="I27" s="132"/>
      <c r="J27" s="132"/>
      <c r="K27" s="132"/>
      <c r="L27" s="132"/>
      <c r="M27" s="132"/>
      <c r="N27" s="132"/>
      <c r="O27" s="80" t="s">
        <v>238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14</v>
      </c>
      <c r="E28" s="41" t="s">
        <v>16</v>
      </c>
      <c r="F28" s="135" t="s">
        <v>232</v>
      </c>
      <c r="G28" s="132"/>
      <c r="H28" s="132"/>
      <c r="I28" s="132"/>
      <c r="J28" s="132"/>
      <c r="K28" s="132"/>
      <c r="L28" s="132"/>
      <c r="M28" s="132"/>
      <c r="N28" s="132"/>
      <c r="O28" s="80" t="s">
        <v>239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14</v>
      </c>
      <c r="E29" s="41" t="s">
        <v>16</v>
      </c>
      <c r="F29" s="132" t="s">
        <v>233</v>
      </c>
      <c r="G29" s="132"/>
      <c r="H29" s="132"/>
      <c r="I29" s="132"/>
      <c r="J29" s="132"/>
      <c r="K29" s="132"/>
      <c r="L29" s="132"/>
      <c r="M29" s="132"/>
      <c r="N29" s="132"/>
      <c r="O29" s="80" t="s">
        <v>240</v>
      </c>
    </row>
    <row r="30" spans="2:15" s="10" customFormat="1" ht="207" customHeight="1" x14ac:dyDescent="0.3">
      <c r="B30" s="42">
        <v>25</v>
      </c>
      <c r="C30" s="41">
        <f t="shared" si="0"/>
        <v>5</v>
      </c>
      <c r="D30" s="41" t="s">
        <v>14</v>
      </c>
      <c r="E30" s="41" t="s">
        <v>16</v>
      </c>
      <c r="F30" s="132" t="s">
        <v>234</v>
      </c>
      <c r="G30" s="132"/>
      <c r="H30" s="132"/>
      <c r="I30" s="132"/>
      <c r="J30" s="132"/>
      <c r="K30" s="132"/>
      <c r="L30" s="132"/>
      <c r="M30" s="132"/>
      <c r="N30" s="132"/>
      <c r="O30" s="79" t="s">
        <v>241</v>
      </c>
    </row>
    <row r="31" spans="2:15" s="10" customFormat="1" ht="207" customHeight="1" x14ac:dyDescent="0.3">
      <c r="B31" s="42">
        <v>26</v>
      </c>
      <c r="C31" s="41">
        <f t="shared" si="0"/>
        <v>2.5</v>
      </c>
      <c r="D31" s="66" t="s">
        <v>14</v>
      </c>
      <c r="E31" s="41" t="s">
        <v>25</v>
      </c>
      <c r="F31" s="132" t="s">
        <v>177</v>
      </c>
      <c r="G31" s="132"/>
      <c r="H31" s="132"/>
      <c r="I31" s="132"/>
      <c r="J31" s="132"/>
      <c r="K31" s="132"/>
      <c r="L31" s="132"/>
      <c r="M31" s="132"/>
      <c r="N31" s="132"/>
      <c r="O31" s="80">
        <v>4</v>
      </c>
    </row>
    <row r="32" spans="2:15" s="10" customFormat="1" ht="207" customHeight="1" x14ac:dyDescent="0.3">
      <c r="B32" s="42">
        <v>27</v>
      </c>
      <c r="C32" s="41">
        <f t="shared" si="0"/>
        <v>2.5</v>
      </c>
      <c r="D32" s="41" t="s">
        <v>14</v>
      </c>
      <c r="E32" s="41" t="s">
        <v>25</v>
      </c>
      <c r="F32" s="132" t="s">
        <v>394</v>
      </c>
      <c r="G32" s="132"/>
      <c r="H32" s="132"/>
      <c r="I32" s="132"/>
      <c r="J32" s="132"/>
      <c r="K32" s="132"/>
      <c r="L32" s="132"/>
      <c r="M32" s="132"/>
      <c r="N32" s="132"/>
      <c r="O32" s="80">
        <v>2</v>
      </c>
    </row>
  </sheetData>
  <mergeCells count="30">
    <mergeCell ref="F28:N28"/>
    <mergeCell ref="F29:N29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30:N30"/>
    <mergeCell ref="F31:N31"/>
    <mergeCell ref="F32:N32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27:N27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4"/>
  <dimension ref="B2:O32"/>
  <sheetViews>
    <sheetView showGridLines="0" topLeftCell="A29" zoomScale="40" zoomScaleNormal="40" zoomScaleSheetLayoutView="55" workbookViewId="0">
      <selection activeCell="F31" sqref="F31:N31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242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7"/>
      <c r="H4" s="67"/>
      <c r="I4" s="67"/>
      <c r="J4" s="67"/>
      <c r="K4" s="67"/>
      <c r="L4" s="67"/>
      <c r="M4" s="67"/>
      <c r="N4" s="67"/>
    </row>
    <row r="5" spans="2:15" ht="49.5" customHeight="1" x14ac:dyDescent="0.3">
      <c r="B5" s="36" t="s">
        <v>0</v>
      </c>
      <c r="C5" s="68" t="s">
        <v>20</v>
      </c>
      <c r="D5" s="68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243</v>
      </c>
      <c r="E6" s="41" t="s">
        <v>13</v>
      </c>
      <c r="F6" s="132" t="s">
        <v>410</v>
      </c>
      <c r="G6" s="132"/>
      <c r="H6" s="132"/>
      <c r="I6" s="132"/>
      <c r="J6" s="132"/>
      <c r="K6" s="132"/>
      <c r="L6" s="132"/>
      <c r="M6" s="132"/>
      <c r="N6" s="132"/>
      <c r="O6" s="80">
        <v>3</v>
      </c>
    </row>
    <row r="7" spans="2:15" s="10" customFormat="1" ht="206.25" customHeight="1" x14ac:dyDescent="0.3">
      <c r="B7" s="42">
        <v>2</v>
      </c>
      <c r="C7" s="41">
        <f t="shared" ref="C7:C32" si="0">IF(E7="공통",2.5,IF(E7="객관식",4,IF(E7="주관식",5,"")))</f>
        <v>4</v>
      </c>
      <c r="D7" s="41" t="s">
        <v>52</v>
      </c>
      <c r="E7" s="41" t="s">
        <v>13</v>
      </c>
      <c r="F7" s="132" t="s">
        <v>857</v>
      </c>
      <c r="G7" s="140"/>
      <c r="H7" s="140"/>
      <c r="I7" s="140"/>
      <c r="J7" s="140"/>
      <c r="K7" s="140"/>
      <c r="L7" s="140"/>
      <c r="M7" s="140"/>
      <c r="N7" s="141"/>
      <c r="O7" s="80">
        <v>1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52</v>
      </c>
      <c r="E8" s="41" t="s">
        <v>13</v>
      </c>
      <c r="F8" s="136" t="s">
        <v>858</v>
      </c>
      <c r="G8" s="137"/>
      <c r="H8" s="137"/>
      <c r="I8" s="137"/>
      <c r="J8" s="137"/>
      <c r="K8" s="137"/>
      <c r="L8" s="137"/>
      <c r="M8" s="137"/>
      <c r="N8" s="138"/>
      <c r="O8" s="80">
        <v>3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52</v>
      </c>
      <c r="E9" s="41" t="s">
        <v>13</v>
      </c>
      <c r="F9" s="132" t="s">
        <v>859</v>
      </c>
      <c r="G9" s="132"/>
      <c r="H9" s="132"/>
      <c r="I9" s="132"/>
      <c r="J9" s="132"/>
      <c r="K9" s="132"/>
      <c r="L9" s="132"/>
      <c r="M9" s="132"/>
      <c r="N9" s="132"/>
      <c r="O9" s="80">
        <v>2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52</v>
      </c>
      <c r="E10" s="41" t="s">
        <v>13</v>
      </c>
      <c r="F10" s="132" t="s">
        <v>860</v>
      </c>
      <c r="G10" s="132"/>
      <c r="H10" s="132"/>
      <c r="I10" s="132"/>
      <c r="J10" s="132"/>
      <c r="K10" s="132"/>
      <c r="L10" s="132"/>
      <c r="M10" s="132"/>
      <c r="N10" s="132"/>
      <c r="O10" s="80">
        <v>2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52</v>
      </c>
      <c r="E11" s="41" t="s">
        <v>13</v>
      </c>
      <c r="F11" s="132" t="s">
        <v>861</v>
      </c>
      <c r="G11" s="132"/>
      <c r="H11" s="132"/>
      <c r="I11" s="132"/>
      <c r="J11" s="132"/>
      <c r="K11" s="132"/>
      <c r="L11" s="132"/>
      <c r="M11" s="132"/>
      <c r="N11" s="132"/>
      <c r="O11" s="80">
        <v>1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52</v>
      </c>
      <c r="E12" s="41" t="s">
        <v>13</v>
      </c>
      <c r="F12" s="132" t="s">
        <v>862</v>
      </c>
      <c r="G12" s="132"/>
      <c r="H12" s="132"/>
      <c r="I12" s="132"/>
      <c r="J12" s="132"/>
      <c r="K12" s="132"/>
      <c r="L12" s="132"/>
      <c r="M12" s="132"/>
      <c r="N12" s="132"/>
      <c r="O12" s="80">
        <v>3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52</v>
      </c>
      <c r="E13" s="41" t="s">
        <v>13</v>
      </c>
      <c r="F13" s="132" t="s">
        <v>863</v>
      </c>
      <c r="G13" s="132"/>
      <c r="H13" s="132"/>
      <c r="I13" s="132"/>
      <c r="J13" s="132"/>
      <c r="K13" s="132"/>
      <c r="L13" s="132"/>
      <c r="M13" s="132"/>
      <c r="N13" s="132"/>
      <c r="O13" s="80">
        <v>4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52</v>
      </c>
      <c r="E14" s="41" t="s">
        <v>2</v>
      </c>
      <c r="F14" s="132" t="s">
        <v>535</v>
      </c>
      <c r="G14" s="132"/>
      <c r="H14" s="132"/>
      <c r="I14" s="132"/>
      <c r="J14" s="132"/>
      <c r="K14" s="132"/>
      <c r="L14" s="132"/>
      <c r="M14" s="132"/>
      <c r="N14" s="132"/>
      <c r="O14" s="80">
        <v>2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52</v>
      </c>
      <c r="E15" s="41" t="s">
        <v>13</v>
      </c>
      <c r="F15" s="132" t="s">
        <v>864</v>
      </c>
      <c r="G15" s="132"/>
      <c r="H15" s="132"/>
      <c r="I15" s="132"/>
      <c r="J15" s="132"/>
      <c r="K15" s="132"/>
      <c r="L15" s="132"/>
      <c r="M15" s="132"/>
      <c r="N15" s="132"/>
      <c r="O15" s="80">
        <v>2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52</v>
      </c>
      <c r="E16" s="41" t="s">
        <v>13</v>
      </c>
      <c r="F16" s="132" t="s">
        <v>865</v>
      </c>
      <c r="G16" s="132"/>
      <c r="H16" s="132"/>
      <c r="I16" s="132"/>
      <c r="J16" s="132"/>
      <c r="K16" s="132"/>
      <c r="L16" s="132"/>
      <c r="M16" s="132"/>
      <c r="N16" s="132"/>
      <c r="O16" s="80">
        <v>1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52</v>
      </c>
      <c r="E17" s="41" t="s">
        <v>13</v>
      </c>
      <c r="F17" s="135" t="s">
        <v>866</v>
      </c>
      <c r="G17" s="132"/>
      <c r="H17" s="132"/>
      <c r="I17" s="132"/>
      <c r="J17" s="132"/>
      <c r="K17" s="132"/>
      <c r="L17" s="132"/>
      <c r="M17" s="132"/>
      <c r="N17" s="132"/>
      <c r="O17" s="80">
        <v>2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52</v>
      </c>
      <c r="E18" s="41" t="s">
        <v>13</v>
      </c>
      <c r="F18" s="132" t="s">
        <v>867</v>
      </c>
      <c r="G18" s="132"/>
      <c r="H18" s="132"/>
      <c r="I18" s="132"/>
      <c r="J18" s="132"/>
      <c r="K18" s="132"/>
      <c r="L18" s="132"/>
      <c r="M18" s="132"/>
      <c r="N18" s="132"/>
      <c r="O18" s="80">
        <v>3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52</v>
      </c>
      <c r="E19" s="41" t="s">
        <v>2</v>
      </c>
      <c r="F19" s="132" t="s">
        <v>868</v>
      </c>
      <c r="G19" s="132"/>
      <c r="H19" s="132"/>
      <c r="I19" s="132"/>
      <c r="J19" s="132"/>
      <c r="K19" s="132"/>
      <c r="L19" s="132"/>
      <c r="M19" s="132"/>
      <c r="N19" s="132"/>
      <c r="O19" s="80">
        <v>2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52</v>
      </c>
      <c r="E20" s="41" t="s">
        <v>13</v>
      </c>
      <c r="F20" s="132" t="s">
        <v>869</v>
      </c>
      <c r="G20" s="132"/>
      <c r="H20" s="132"/>
      <c r="I20" s="132"/>
      <c r="J20" s="132"/>
      <c r="K20" s="132"/>
      <c r="L20" s="132"/>
      <c r="M20" s="132"/>
      <c r="N20" s="132"/>
      <c r="O20" s="79">
        <v>1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52</v>
      </c>
      <c r="E21" s="41" t="s">
        <v>13</v>
      </c>
      <c r="F21" s="132" t="s">
        <v>870</v>
      </c>
      <c r="G21" s="132"/>
      <c r="H21" s="132"/>
      <c r="I21" s="132"/>
      <c r="J21" s="132"/>
      <c r="K21" s="132"/>
      <c r="L21" s="132"/>
      <c r="M21" s="132"/>
      <c r="N21" s="132"/>
      <c r="O21" s="80">
        <v>1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52</v>
      </c>
      <c r="E22" s="41" t="s">
        <v>13</v>
      </c>
      <c r="F22" s="132" t="s">
        <v>807</v>
      </c>
      <c r="G22" s="132"/>
      <c r="H22" s="132"/>
      <c r="I22" s="132"/>
      <c r="J22" s="132"/>
      <c r="K22" s="132"/>
      <c r="L22" s="132"/>
      <c r="M22" s="132"/>
      <c r="N22" s="132"/>
      <c r="O22" s="80">
        <v>4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52</v>
      </c>
      <c r="E23" s="41" t="s">
        <v>13</v>
      </c>
      <c r="F23" s="132" t="s">
        <v>871</v>
      </c>
      <c r="G23" s="132"/>
      <c r="H23" s="132"/>
      <c r="I23" s="132"/>
      <c r="J23" s="132"/>
      <c r="K23" s="132"/>
      <c r="L23" s="132"/>
      <c r="M23" s="132"/>
      <c r="N23" s="132"/>
      <c r="O23" s="80">
        <v>3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52</v>
      </c>
      <c r="E24" s="41" t="s">
        <v>13</v>
      </c>
      <c r="F24" s="132" t="s">
        <v>872</v>
      </c>
      <c r="G24" s="132"/>
      <c r="H24" s="132"/>
      <c r="I24" s="132"/>
      <c r="J24" s="132"/>
      <c r="K24" s="132"/>
      <c r="L24" s="132"/>
      <c r="M24" s="132"/>
      <c r="N24" s="132"/>
      <c r="O24" s="80">
        <v>2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52</v>
      </c>
      <c r="E25" s="41" t="s">
        <v>13</v>
      </c>
      <c r="F25" s="132" t="s">
        <v>873</v>
      </c>
      <c r="G25" s="132"/>
      <c r="H25" s="132"/>
      <c r="I25" s="132"/>
      <c r="J25" s="132"/>
      <c r="K25" s="132"/>
      <c r="L25" s="132"/>
      <c r="M25" s="132"/>
      <c r="N25" s="132"/>
      <c r="O25" s="96">
        <v>2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52</v>
      </c>
      <c r="E26" s="41" t="s">
        <v>16</v>
      </c>
      <c r="F26" s="132" t="s">
        <v>244</v>
      </c>
      <c r="G26" s="133"/>
      <c r="H26" s="133"/>
      <c r="I26" s="133"/>
      <c r="J26" s="133"/>
      <c r="K26" s="133"/>
      <c r="L26" s="133"/>
      <c r="M26" s="133"/>
      <c r="N26" s="133"/>
      <c r="O26" s="80" t="s">
        <v>245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52</v>
      </c>
      <c r="E27" s="41" t="s">
        <v>16</v>
      </c>
      <c r="F27" s="135" t="s">
        <v>246</v>
      </c>
      <c r="G27" s="132"/>
      <c r="H27" s="132"/>
      <c r="I27" s="132"/>
      <c r="J27" s="132"/>
      <c r="K27" s="132"/>
      <c r="L27" s="132"/>
      <c r="M27" s="132"/>
      <c r="N27" s="132"/>
      <c r="O27" s="80" t="s">
        <v>247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52</v>
      </c>
      <c r="E28" s="41" t="s">
        <v>16</v>
      </c>
      <c r="F28" s="135" t="s">
        <v>248</v>
      </c>
      <c r="G28" s="132"/>
      <c r="H28" s="132"/>
      <c r="I28" s="132"/>
      <c r="J28" s="132"/>
      <c r="K28" s="132"/>
      <c r="L28" s="132"/>
      <c r="M28" s="132"/>
      <c r="N28" s="132"/>
      <c r="O28" s="80" t="s">
        <v>249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52</v>
      </c>
      <c r="E29" s="41" t="s">
        <v>16</v>
      </c>
      <c r="F29" s="132" t="s">
        <v>250</v>
      </c>
      <c r="G29" s="132"/>
      <c r="H29" s="132"/>
      <c r="I29" s="132"/>
      <c r="J29" s="132"/>
      <c r="K29" s="132"/>
      <c r="L29" s="132"/>
      <c r="M29" s="132"/>
      <c r="N29" s="132"/>
      <c r="O29" s="80" t="s">
        <v>251</v>
      </c>
    </row>
    <row r="30" spans="2:15" s="10" customFormat="1" ht="207" customHeight="1" x14ac:dyDescent="0.3">
      <c r="B30" s="42">
        <v>25</v>
      </c>
      <c r="C30" s="41">
        <f t="shared" si="0"/>
        <v>2.5</v>
      </c>
      <c r="D30" s="41" t="s">
        <v>52</v>
      </c>
      <c r="E30" s="41" t="s">
        <v>25</v>
      </c>
      <c r="F30" s="132" t="s">
        <v>962</v>
      </c>
      <c r="G30" s="132"/>
      <c r="H30" s="132"/>
      <c r="I30" s="132"/>
      <c r="J30" s="132"/>
      <c r="K30" s="132"/>
      <c r="L30" s="132"/>
      <c r="M30" s="132"/>
      <c r="N30" s="132"/>
      <c r="O30" s="79" t="s">
        <v>253</v>
      </c>
    </row>
    <row r="31" spans="2:15" s="10" customFormat="1" ht="207" customHeight="1" x14ac:dyDescent="0.3">
      <c r="B31" s="42">
        <v>26</v>
      </c>
      <c r="C31" s="41">
        <f t="shared" si="0"/>
        <v>2.5</v>
      </c>
      <c r="D31" s="66" t="s">
        <v>52</v>
      </c>
      <c r="E31" s="41" t="s">
        <v>25</v>
      </c>
      <c r="F31" s="132" t="s">
        <v>393</v>
      </c>
      <c r="G31" s="132"/>
      <c r="H31" s="132"/>
      <c r="I31" s="132"/>
      <c r="J31" s="132"/>
      <c r="K31" s="132"/>
      <c r="L31" s="132"/>
      <c r="M31" s="132"/>
      <c r="N31" s="132"/>
      <c r="O31" s="80">
        <v>4</v>
      </c>
    </row>
    <row r="32" spans="2:15" s="10" customFormat="1" ht="207" customHeight="1" x14ac:dyDescent="0.3">
      <c r="B32" s="42">
        <v>27</v>
      </c>
      <c r="C32" s="41">
        <f t="shared" si="0"/>
        <v>2.5</v>
      </c>
      <c r="D32" s="41" t="s">
        <v>52</v>
      </c>
      <c r="E32" s="41" t="s">
        <v>25</v>
      </c>
      <c r="F32" s="132" t="s">
        <v>394</v>
      </c>
      <c r="G32" s="132"/>
      <c r="H32" s="132"/>
      <c r="I32" s="132"/>
      <c r="J32" s="132"/>
      <c r="K32" s="132"/>
      <c r="L32" s="132"/>
      <c r="M32" s="132"/>
      <c r="N32" s="132"/>
      <c r="O32" s="80">
        <v>2</v>
      </c>
    </row>
  </sheetData>
  <mergeCells count="30">
    <mergeCell ref="F28:N28"/>
    <mergeCell ref="F29:N29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30:N30"/>
    <mergeCell ref="F31:N31"/>
    <mergeCell ref="F32:N32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27:N27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5"/>
  <dimension ref="B2:O32"/>
  <sheetViews>
    <sheetView showGridLines="0" topLeftCell="A28" zoomScale="40" zoomScaleNormal="40" zoomScaleSheetLayoutView="55" workbookViewId="0">
      <selection activeCell="T7" sqref="T7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254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7"/>
      <c r="H4" s="67"/>
      <c r="I4" s="67"/>
      <c r="J4" s="67"/>
      <c r="K4" s="67"/>
      <c r="L4" s="67"/>
      <c r="M4" s="67"/>
      <c r="N4" s="67"/>
    </row>
    <row r="5" spans="2:15" ht="49.5" customHeight="1" x14ac:dyDescent="0.3">
      <c r="B5" s="36" t="s">
        <v>0</v>
      </c>
      <c r="C5" s="68" t="s">
        <v>20</v>
      </c>
      <c r="D5" s="68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14</v>
      </c>
      <c r="E6" s="41" t="s">
        <v>13</v>
      </c>
      <c r="F6" s="132" t="s">
        <v>929</v>
      </c>
      <c r="G6" s="132"/>
      <c r="H6" s="132"/>
      <c r="I6" s="132"/>
      <c r="J6" s="132"/>
      <c r="K6" s="132"/>
      <c r="L6" s="132"/>
      <c r="M6" s="132"/>
      <c r="N6" s="132"/>
      <c r="O6" s="80">
        <v>1</v>
      </c>
    </row>
    <row r="7" spans="2:15" s="10" customFormat="1" ht="206.25" customHeight="1" x14ac:dyDescent="0.3">
      <c r="B7" s="42">
        <v>2</v>
      </c>
      <c r="C7" s="41">
        <f t="shared" ref="C7:C32" si="0">IF(E7="공통",2.5,IF(E7="객관식",4,IF(E7="주관식",5,"")))</f>
        <v>4</v>
      </c>
      <c r="D7" s="41" t="s">
        <v>14</v>
      </c>
      <c r="E7" s="41" t="s">
        <v>13</v>
      </c>
      <c r="F7" s="132" t="s">
        <v>874</v>
      </c>
      <c r="G7" s="140"/>
      <c r="H7" s="140"/>
      <c r="I7" s="140"/>
      <c r="J7" s="140"/>
      <c r="K7" s="140"/>
      <c r="L7" s="140"/>
      <c r="M7" s="140"/>
      <c r="N7" s="141"/>
      <c r="O7" s="80">
        <v>4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14</v>
      </c>
      <c r="E8" s="41" t="s">
        <v>13</v>
      </c>
      <c r="F8" s="136" t="s">
        <v>875</v>
      </c>
      <c r="G8" s="137"/>
      <c r="H8" s="137"/>
      <c r="I8" s="137"/>
      <c r="J8" s="137"/>
      <c r="K8" s="137"/>
      <c r="L8" s="137"/>
      <c r="M8" s="137"/>
      <c r="N8" s="138"/>
      <c r="O8" s="80">
        <v>3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14</v>
      </c>
      <c r="E9" s="41" t="s">
        <v>13</v>
      </c>
      <c r="F9" s="132" t="s">
        <v>876</v>
      </c>
      <c r="G9" s="132"/>
      <c r="H9" s="132"/>
      <c r="I9" s="132"/>
      <c r="J9" s="132"/>
      <c r="K9" s="132"/>
      <c r="L9" s="132"/>
      <c r="M9" s="132"/>
      <c r="N9" s="132"/>
      <c r="O9" s="80">
        <v>2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14</v>
      </c>
      <c r="E10" s="41" t="s">
        <v>13</v>
      </c>
      <c r="F10" s="132" t="s">
        <v>877</v>
      </c>
      <c r="G10" s="132"/>
      <c r="H10" s="132"/>
      <c r="I10" s="132"/>
      <c r="J10" s="132"/>
      <c r="K10" s="132"/>
      <c r="L10" s="132"/>
      <c r="M10" s="132"/>
      <c r="N10" s="132"/>
      <c r="O10" s="80">
        <v>1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14</v>
      </c>
      <c r="E11" s="41" t="s">
        <v>13</v>
      </c>
      <c r="F11" s="132" t="s">
        <v>878</v>
      </c>
      <c r="G11" s="132"/>
      <c r="H11" s="132"/>
      <c r="I11" s="132"/>
      <c r="J11" s="132"/>
      <c r="K11" s="132"/>
      <c r="L11" s="132"/>
      <c r="M11" s="132"/>
      <c r="N11" s="132"/>
      <c r="O11" s="80">
        <v>1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14</v>
      </c>
      <c r="E12" s="41" t="s">
        <v>13</v>
      </c>
      <c r="F12" s="132" t="s">
        <v>879</v>
      </c>
      <c r="G12" s="132"/>
      <c r="H12" s="132"/>
      <c r="I12" s="132"/>
      <c r="J12" s="132"/>
      <c r="K12" s="132"/>
      <c r="L12" s="132"/>
      <c r="M12" s="132"/>
      <c r="N12" s="132"/>
      <c r="O12" s="80">
        <v>2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14</v>
      </c>
      <c r="E13" s="41" t="s">
        <v>13</v>
      </c>
      <c r="F13" s="132" t="s">
        <v>880</v>
      </c>
      <c r="G13" s="132"/>
      <c r="H13" s="132"/>
      <c r="I13" s="132"/>
      <c r="J13" s="132"/>
      <c r="K13" s="132"/>
      <c r="L13" s="132"/>
      <c r="M13" s="132"/>
      <c r="N13" s="132"/>
      <c r="O13" s="80">
        <v>2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14</v>
      </c>
      <c r="E14" s="41" t="s">
        <v>2</v>
      </c>
      <c r="F14" s="132" t="s">
        <v>881</v>
      </c>
      <c r="G14" s="132"/>
      <c r="H14" s="132"/>
      <c r="I14" s="132"/>
      <c r="J14" s="132"/>
      <c r="K14" s="132"/>
      <c r="L14" s="132"/>
      <c r="M14" s="132"/>
      <c r="N14" s="132"/>
      <c r="O14" s="80">
        <v>1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14</v>
      </c>
      <c r="E15" s="41" t="s">
        <v>13</v>
      </c>
      <c r="F15" s="132" t="s">
        <v>882</v>
      </c>
      <c r="G15" s="132"/>
      <c r="H15" s="132"/>
      <c r="I15" s="132"/>
      <c r="J15" s="132"/>
      <c r="K15" s="132"/>
      <c r="L15" s="132"/>
      <c r="M15" s="132"/>
      <c r="N15" s="132"/>
      <c r="O15" s="80">
        <v>2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14</v>
      </c>
      <c r="E16" s="41" t="s">
        <v>13</v>
      </c>
      <c r="F16" s="132" t="s">
        <v>883</v>
      </c>
      <c r="G16" s="132"/>
      <c r="H16" s="132"/>
      <c r="I16" s="132"/>
      <c r="J16" s="132"/>
      <c r="K16" s="132"/>
      <c r="L16" s="132"/>
      <c r="M16" s="132"/>
      <c r="N16" s="132"/>
      <c r="O16" s="80">
        <v>1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14</v>
      </c>
      <c r="E17" s="41" t="s">
        <v>13</v>
      </c>
      <c r="F17" s="135" t="s">
        <v>884</v>
      </c>
      <c r="G17" s="132"/>
      <c r="H17" s="132"/>
      <c r="I17" s="132"/>
      <c r="J17" s="132"/>
      <c r="K17" s="132"/>
      <c r="L17" s="132"/>
      <c r="M17" s="132"/>
      <c r="N17" s="132"/>
      <c r="O17" s="80">
        <v>1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14</v>
      </c>
      <c r="E18" s="41" t="s">
        <v>13</v>
      </c>
      <c r="F18" s="132" t="s">
        <v>885</v>
      </c>
      <c r="G18" s="132"/>
      <c r="H18" s="132"/>
      <c r="I18" s="132"/>
      <c r="J18" s="132"/>
      <c r="K18" s="132"/>
      <c r="L18" s="132"/>
      <c r="M18" s="132"/>
      <c r="N18" s="132"/>
      <c r="O18" s="80">
        <v>3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14</v>
      </c>
      <c r="E19" s="41" t="s">
        <v>2</v>
      </c>
      <c r="F19" s="132" t="s">
        <v>886</v>
      </c>
      <c r="G19" s="132"/>
      <c r="H19" s="132"/>
      <c r="I19" s="132"/>
      <c r="J19" s="132"/>
      <c r="K19" s="132"/>
      <c r="L19" s="132"/>
      <c r="M19" s="132"/>
      <c r="N19" s="132"/>
      <c r="O19" s="80">
        <v>1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14</v>
      </c>
      <c r="E20" s="41" t="s">
        <v>13</v>
      </c>
      <c r="F20" s="132" t="s">
        <v>887</v>
      </c>
      <c r="G20" s="132"/>
      <c r="H20" s="132"/>
      <c r="I20" s="132"/>
      <c r="J20" s="132"/>
      <c r="K20" s="132"/>
      <c r="L20" s="132"/>
      <c r="M20" s="132"/>
      <c r="N20" s="132"/>
      <c r="O20" s="79">
        <v>2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14</v>
      </c>
      <c r="E21" s="41" t="s">
        <v>13</v>
      </c>
      <c r="F21" s="132" t="s">
        <v>888</v>
      </c>
      <c r="G21" s="132"/>
      <c r="H21" s="132"/>
      <c r="I21" s="132"/>
      <c r="J21" s="132"/>
      <c r="K21" s="132"/>
      <c r="L21" s="132"/>
      <c r="M21" s="132"/>
      <c r="N21" s="132"/>
      <c r="O21" s="80">
        <v>1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14</v>
      </c>
      <c r="E22" s="41" t="s">
        <v>13</v>
      </c>
      <c r="F22" s="132" t="s">
        <v>889</v>
      </c>
      <c r="G22" s="132"/>
      <c r="H22" s="132"/>
      <c r="I22" s="132"/>
      <c r="J22" s="132"/>
      <c r="K22" s="132"/>
      <c r="L22" s="132"/>
      <c r="M22" s="132"/>
      <c r="N22" s="132"/>
      <c r="O22" s="80">
        <v>1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14</v>
      </c>
      <c r="E23" s="41" t="s">
        <v>13</v>
      </c>
      <c r="F23" s="132" t="s">
        <v>890</v>
      </c>
      <c r="G23" s="132"/>
      <c r="H23" s="132"/>
      <c r="I23" s="132"/>
      <c r="J23" s="132"/>
      <c r="K23" s="132"/>
      <c r="L23" s="132"/>
      <c r="M23" s="132"/>
      <c r="N23" s="132"/>
      <c r="O23" s="80">
        <v>4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14</v>
      </c>
      <c r="E24" s="41" t="s">
        <v>13</v>
      </c>
      <c r="F24" s="132" t="s">
        <v>891</v>
      </c>
      <c r="G24" s="132"/>
      <c r="H24" s="132"/>
      <c r="I24" s="132"/>
      <c r="J24" s="132"/>
      <c r="K24" s="132"/>
      <c r="L24" s="132"/>
      <c r="M24" s="132"/>
      <c r="N24" s="132"/>
      <c r="O24" s="80">
        <v>1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14</v>
      </c>
      <c r="E25" s="41" t="s">
        <v>13</v>
      </c>
      <c r="F25" s="132" t="s">
        <v>892</v>
      </c>
      <c r="G25" s="132"/>
      <c r="H25" s="132"/>
      <c r="I25" s="132"/>
      <c r="J25" s="132"/>
      <c r="K25" s="132"/>
      <c r="L25" s="132"/>
      <c r="M25" s="132"/>
      <c r="N25" s="132"/>
      <c r="O25" s="96">
        <v>3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14</v>
      </c>
      <c r="E26" s="41" t="s">
        <v>16</v>
      </c>
      <c r="F26" s="132" t="s">
        <v>894</v>
      </c>
      <c r="G26" s="133"/>
      <c r="H26" s="133"/>
      <c r="I26" s="133"/>
      <c r="J26" s="133"/>
      <c r="K26" s="133"/>
      <c r="L26" s="133"/>
      <c r="M26" s="133"/>
      <c r="N26" s="133"/>
      <c r="O26" s="80" t="s">
        <v>255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14</v>
      </c>
      <c r="E27" s="41" t="s">
        <v>16</v>
      </c>
      <c r="F27" s="135" t="s">
        <v>256</v>
      </c>
      <c r="G27" s="132"/>
      <c r="H27" s="132"/>
      <c r="I27" s="132"/>
      <c r="J27" s="132"/>
      <c r="K27" s="132"/>
      <c r="L27" s="132"/>
      <c r="M27" s="132"/>
      <c r="N27" s="132"/>
      <c r="O27" s="80" t="s">
        <v>257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14</v>
      </c>
      <c r="E28" s="41" t="s">
        <v>16</v>
      </c>
      <c r="F28" s="135" t="s">
        <v>893</v>
      </c>
      <c r="G28" s="132"/>
      <c r="H28" s="132"/>
      <c r="I28" s="132"/>
      <c r="J28" s="132"/>
      <c r="K28" s="132"/>
      <c r="L28" s="132"/>
      <c r="M28" s="132"/>
      <c r="N28" s="132"/>
      <c r="O28" s="80" t="s">
        <v>258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14</v>
      </c>
      <c r="E29" s="41" t="s">
        <v>16</v>
      </c>
      <c r="F29" s="132" t="s">
        <v>259</v>
      </c>
      <c r="G29" s="132"/>
      <c r="H29" s="132"/>
      <c r="I29" s="132"/>
      <c r="J29" s="132"/>
      <c r="K29" s="132"/>
      <c r="L29" s="132"/>
      <c r="M29" s="132"/>
      <c r="N29" s="132"/>
      <c r="O29" s="80" t="s">
        <v>260</v>
      </c>
    </row>
    <row r="30" spans="2:15" s="10" customFormat="1" ht="207" customHeight="1" x14ac:dyDescent="0.3">
      <c r="B30" s="42">
        <v>25</v>
      </c>
      <c r="C30" s="41">
        <f t="shared" si="0"/>
        <v>2.5</v>
      </c>
      <c r="D30" s="41" t="s">
        <v>14</v>
      </c>
      <c r="E30" s="41" t="s">
        <v>25</v>
      </c>
      <c r="F30" s="132" t="s">
        <v>261</v>
      </c>
      <c r="G30" s="132"/>
      <c r="H30" s="132"/>
      <c r="I30" s="132"/>
      <c r="J30" s="132"/>
      <c r="K30" s="132"/>
      <c r="L30" s="132"/>
      <c r="M30" s="132"/>
      <c r="N30" s="132"/>
      <c r="O30" s="79" t="s">
        <v>262</v>
      </c>
    </row>
    <row r="31" spans="2:15" s="10" customFormat="1" ht="207" customHeight="1" x14ac:dyDescent="0.3">
      <c r="B31" s="42">
        <v>26</v>
      </c>
      <c r="C31" s="41">
        <f t="shared" si="0"/>
        <v>2.5</v>
      </c>
      <c r="D31" s="66" t="s">
        <v>14</v>
      </c>
      <c r="E31" s="41" t="s">
        <v>25</v>
      </c>
      <c r="F31" s="132" t="s">
        <v>428</v>
      </c>
      <c r="G31" s="132"/>
      <c r="H31" s="132"/>
      <c r="I31" s="132"/>
      <c r="J31" s="132"/>
      <c r="K31" s="132"/>
      <c r="L31" s="132"/>
      <c r="M31" s="132"/>
      <c r="N31" s="132"/>
      <c r="O31" s="89">
        <v>3</v>
      </c>
    </row>
    <row r="32" spans="2:15" s="10" customFormat="1" ht="207" customHeight="1" x14ac:dyDescent="0.3">
      <c r="B32" s="42">
        <v>27</v>
      </c>
      <c r="C32" s="41">
        <f t="shared" si="0"/>
        <v>2.5</v>
      </c>
      <c r="D32" s="41" t="s">
        <v>14</v>
      </c>
      <c r="E32" s="41" t="s">
        <v>25</v>
      </c>
      <c r="F32" s="132" t="s">
        <v>429</v>
      </c>
      <c r="G32" s="132"/>
      <c r="H32" s="132"/>
      <c r="I32" s="132"/>
      <c r="J32" s="132"/>
      <c r="K32" s="132"/>
      <c r="L32" s="132"/>
      <c r="M32" s="132"/>
      <c r="N32" s="132"/>
      <c r="O32" s="80">
        <v>2</v>
      </c>
    </row>
  </sheetData>
  <mergeCells count="30">
    <mergeCell ref="F28:N28"/>
    <mergeCell ref="F29:N29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30:N30"/>
    <mergeCell ref="F31:N31"/>
    <mergeCell ref="F32:N32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27:N27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6"/>
  <dimension ref="B2:O32"/>
  <sheetViews>
    <sheetView showGridLines="0" topLeftCell="A28" zoomScale="40" zoomScaleNormal="40" zoomScaleSheetLayoutView="55" workbookViewId="0">
      <selection activeCell="Y30" sqref="Y30"/>
    </sheetView>
  </sheetViews>
  <sheetFormatPr defaultRowHeight="16.5" x14ac:dyDescent="0.3"/>
  <cols>
    <col min="1" max="1" width="5" style="2" customWidth="1"/>
    <col min="2" max="2" width="18.75" style="2" customWidth="1"/>
    <col min="3" max="3" width="26.25" style="1" customWidth="1"/>
    <col min="4" max="4" width="19.625" style="1" customWidth="1"/>
    <col min="5" max="5" width="19.125" style="1" customWidth="1"/>
    <col min="6" max="6" width="32.5" style="2" customWidth="1"/>
    <col min="7" max="9" width="33.75" style="2" customWidth="1"/>
    <col min="10" max="10" width="25.25" style="2" customWidth="1"/>
    <col min="11" max="11" width="4.25" style="2" customWidth="1"/>
    <col min="12" max="14" width="17.625" style="2" customWidth="1"/>
    <col min="15" max="15" width="69.625" style="1" customWidth="1"/>
    <col min="16" max="16384" width="9" style="2"/>
  </cols>
  <sheetData>
    <row r="2" spans="2:15" ht="13.5" customHeight="1" x14ac:dyDescent="0.3">
      <c r="C2" s="2"/>
      <c r="D2" s="2"/>
      <c r="E2" s="2"/>
    </row>
    <row r="3" spans="2:15" ht="100.5" customHeight="1" x14ac:dyDescent="0.3">
      <c r="B3" s="126" t="s">
        <v>263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2:15" ht="12" customHeight="1" x14ac:dyDescent="0.3">
      <c r="C4" s="129"/>
      <c r="D4" s="129"/>
      <c r="E4" s="129"/>
      <c r="F4" s="129"/>
      <c r="G4" s="67"/>
      <c r="H4" s="67"/>
      <c r="I4" s="67"/>
      <c r="J4" s="67"/>
      <c r="K4" s="67"/>
      <c r="L4" s="67"/>
      <c r="M4" s="67"/>
      <c r="N4" s="67"/>
    </row>
    <row r="5" spans="2:15" ht="49.5" customHeight="1" x14ac:dyDescent="0.3">
      <c r="B5" s="36" t="s">
        <v>0</v>
      </c>
      <c r="C5" s="68" t="s">
        <v>20</v>
      </c>
      <c r="D5" s="68" t="s">
        <v>4</v>
      </c>
      <c r="E5" s="38" t="s">
        <v>41</v>
      </c>
      <c r="F5" s="130" t="s">
        <v>1</v>
      </c>
      <c r="G5" s="130"/>
      <c r="H5" s="130"/>
      <c r="I5" s="130"/>
      <c r="J5" s="130"/>
      <c r="K5" s="130"/>
      <c r="L5" s="130"/>
      <c r="M5" s="130"/>
      <c r="N5" s="130"/>
      <c r="O5" s="39" t="s">
        <v>19</v>
      </c>
    </row>
    <row r="6" spans="2:15" s="10" customFormat="1" ht="207" customHeight="1" x14ac:dyDescent="0.3">
      <c r="B6" s="40">
        <v>1</v>
      </c>
      <c r="C6" s="41">
        <f>IF(E6="공통",2.5,IF(E6="객관식",4,IF(E6="주관식",5,"")))</f>
        <v>4</v>
      </c>
      <c r="D6" s="41" t="s">
        <v>52</v>
      </c>
      <c r="E6" s="41" t="s">
        <v>13</v>
      </c>
      <c r="F6" s="132" t="s">
        <v>895</v>
      </c>
      <c r="G6" s="132"/>
      <c r="H6" s="132"/>
      <c r="I6" s="132"/>
      <c r="J6" s="132"/>
      <c r="K6" s="132"/>
      <c r="L6" s="132"/>
      <c r="M6" s="132"/>
      <c r="N6" s="132"/>
      <c r="O6" s="80">
        <v>3</v>
      </c>
    </row>
    <row r="7" spans="2:15" s="10" customFormat="1" ht="206.25" customHeight="1" x14ac:dyDescent="0.3">
      <c r="B7" s="42">
        <v>2</v>
      </c>
      <c r="C7" s="41">
        <f t="shared" ref="C7:C32" si="0">IF(E7="공통",2.5,IF(E7="객관식",4,IF(E7="주관식",5,"")))</f>
        <v>4</v>
      </c>
      <c r="D7" s="41" t="s">
        <v>52</v>
      </c>
      <c r="E7" s="41" t="s">
        <v>13</v>
      </c>
      <c r="F7" s="132" t="s">
        <v>876</v>
      </c>
      <c r="G7" s="140"/>
      <c r="H7" s="140"/>
      <c r="I7" s="140"/>
      <c r="J7" s="140"/>
      <c r="K7" s="140"/>
      <c r="L7" s="140"/>
      <c r="M7" s="140"/>
      <c r="N7" s="141"/>
      <c r="O7" s="80">
        <v>2</v>
      </c>
    </row>
    <row r="8" spans="2:15" s="10" customFormat="1" ht="207" customHeight="1" x14ac:dyDescent="0.3">
      <c r="B8" s="42">
        <v>3</v>
      </c>
      <c r="C8" s="41">
        <f t="shared" si="0"/>
        <v>4</v>
      </c>
      <c r="D8" s="41" t="s">
        <v>52</v>
      </c>
      <c r="E8" s="41" t="s">
        <v>13</v>
      </c>
      <c r="F8" s="136" t="s">
        <v>896</v>
      </c>
      <c r="G8" s="137"/>
      <c r="H8" s="137"/>
      <c r="I8" s="137"/>
      <c r="J8" s="137"/>
      <c r="K8" s="137"/>
      <c r="L8" s="137"/>
      <c r="M8" s="137"/>
      <c r="N8" s="138"/>
      <c r="O8" s="79">
        <v>4</v>
      </c>
    </row>
    <row r="9" spans="2:15" s="10" customFormat="1" ht="207" customHeight="1" x14ac:dyDescent="0.3">
      <c r="B9" s="42">
        <v>4</v>
      </c>
      <c r="C9" s="41">
        <f t="shared" si="0"/>
        <v>4</v>
      </c>
      <c r="D9" s="41" t="s">
        <v>52</v>
      </c>
      <c r="E9" s="41" t="s">
        <v>13</v>
      </c>
      <c r="F9" s="132" t="s">
        <v>878</v>
      </c>
      <c r="G9" s="132"/>
      <c r="H9" s="132"/>
      <c r="I9" s="132"/>
      <c r="J9" s="132"/>
      <c r="K9" s="132"/>
      <c r="L9" s="132"/>
      <c r="M9" s="132"/>
      <c r="N9" s="132"/>
      <c r="O9" s="79">
        <v>1</v>
      </c>
    </row>
    <row r="10" spans="2:15" s="10" customFormat="1" ht="207" customHeight="1" x14ac:dyDescent="0.3">
      <c r="B10" s="42">
        <v>5</v>
      </c>
      <c r="C10" s="41">
        <f t="shared" si="0"/>
        <v>4</v>
      </c>
      <c r="D10" s="41" t="s">
        <v>52</v>
      </c>
      <c r="E10" s="41" t="s">
        <v>13</v>
      </c>
      <c r="F10" s="132" t="s">
        <v>897</v>
      </c>
      <c r="G10" s="132"/>
      <c r="H10" s="132"/>
      <c r="I10" s="132"/>
      <c r="J10" s="132"/>
      <c r="K10" s="132"/>
      <c r="L10" s="132"/>
      <c r="M10" s="132"/>
      <c r="N10" s="132"/>
      <c r="O10" s="80">
        <v>1</v>
      </c>
    </row>
    <row r="11" spans="2:15" s="10" customFormat="1" ht="207" customHeight="1" x14ac:dyDescent="0.3">
      <c r="B11" s="42">
        <v>6</v>
      </c>
      <c r="C11" s="41">
        <f t="shared" si="0"/>
        <v>4</v>
      </c>
      <c r="D11" s="41" t="s">
        <v>52</v>
      </c>
      <c r="E11" s="41" t="s">
        <v>13</v>
      </c>
      <c r="F11" s="132" t="s">
        <v>898</v>
      </c>
      <c r="G11" s="132"/>
      <c r="H11" s="132"/>
      <c r="I11" s="132"/>
      <c r="J11" s="132"/>
      <c r="K11" s="132"/>
      <c r="L11" s="132"/>
      <c r="M11" s="132"/>
      <c r="N11" s="132"/>
      <c r="O11" s="80">
        <v>2</v>
      </c>
    </row>
    <row r="12" spans="2:15" s="10" customFormat="1" ht="207" customHeight="1" x14ac:dyDescent="0.3">
      <c r="B12" s="42">
        <v>7</v>
      </c>
      <c r="C12" s="41">
        <f t="shared" si="0"/>
        <v>4</v>
      </c>
      <c r="D12" s="41" t="s">
        <v>52</v>
      </c>
      <c r="E12" s="41" t="s">
        <v>13</v>
      </c>
      <c r="F12" s="132" t="s">
        <v>899</v>
      </c>
      <c r="G12" s="132"/>
      <c r="H12" s="132"/>
      <c r="I12" s="132"/>
      <c r="J12" s="132"/>
      <c r="K12" s="132"/>
      <c r="L12" s="132"/>
      <c r="M12" s="132"/>
      <c r="N12" s="132"/>
      <c r="O12" s="80">
        <v>1</v>
      </c>
    </row>
    <row r="13" spans="2:15" s="10" customFormat="1" ht="207" customHeight="1" x14ac:dyDescent="0.3">
      <c r="B13" s="42">
        <v>8</v>
      </c>
      <c r="C13" s="41">
        <f t="shared" si="0"/>
        <v>4</v>
      </c>
      <c r="D13" s="41" t="s">
        <v>52</v>
      </c>
      <c r="E13" s="41" t="s">
        <v>13</v>
      </c>
      <c r="F13" s="132" t="s">
        <v>410</v>
      </c>
      <c r="G13" s="132"/>
      <c r="H13" s="132"/>
      <c r="I13" s="132"/>
      <c r="J13" s="132"/>
      <c r="K13" s="132"/>
      <c r="L13" s="132"/>
      <c r="M13" s="132"/>
      <c r="N13" s="132"/>
      <c r="O13" s="80">
        <v>3</v>
      </c>
    </row>
    <row r="14" spans="2:15" s="10" customFormat="1" ht="207" customHeight="1" x14ac:dyDescent="0.3">
      <c r="B14" s="42">
        <v>9</v>
      </c>
      <c r="C14" s="41">
        <f t="shared" si="0"/>
        <v>4</v>
      </c>
      <c r="D14" s="41" t="s">
        <v>52</v>
      </c>
      <c r="E14" s="41" t="s">
        <v>2</v>
      </c>
      <c r="F14" s="132" t="s">
        <v>900</v>
      </c>
      <c r="G14" s="132"/>
      <c r="H14" s="132"/>
      <c r="I14" s="132"/>
      <c r="J14" s="132"/>
      <c r="K14" s="132"/>
      <c r="L14" s="132"/>
      <c r="M14" s="132"/>
      <c r="N14" s="132"/>
      <c r="O14" s="80">
        <v>2</v>
      </c>
    </row>
    <row r="15" spans="2:15" s="10" customFormat="1" ht="207" customHeight="1" x14ac:dyDescent="0.3">
      <c r="B15" s="42">
        <v>10</v>
      </c>
      <c r="C15" s="41">
        <f t="shared" si="0"/>
        <v>4</v>
      </c>
      <c r="D15" s="41" t="s">
        <v>52</v>
      </c>
      <c r="E15" s="41" t="s">
        <v>13</v>
      </c>
      <c r="F15" s="132" t="s">
        <v>411</v>
      </c>
      <c r="G15" s="132"/>
      <c r="H15" s="132"/>
      <c r="I15" s="132"/>
      <c r="J15" s="132"/>
      <c r="K15" s="132"/>
      <c r="L15" s="132"/>
      <c r="M15" s="132"/>
      <c r="N15" s="132"/>
      <c r="O15" s="80">
        <v>4</v>
      </c>
    </row>
    <row r="16" spans="2:15" s="10" customFormat="1" ht="207" customHeight="1" x14ac:dyDescent="0.3">
      <c r="B16" s="42">
        <v>11</v>
      </c>
      <c r="C16" s="41">
        <f t="shared" si="0"/>
        <v>4</v>
      </c>
      <c r="D16" s="41" t="s">
        <v>52</v>
      </c>
      <c r="E16" s="41" t="s">
        <v>13</v>
      </c>
      <c r="F16" s="132" t="s">
        <v>901</v>
      </c>
      <c r="G16" s="132"/>
      <c r="H16" s="132"/>
      <c r="I16" s="132"/>
      <c r="J16" s="132"/>
      <c r="K16" s="132"/>
      <c r="L16" s="132"/>
      <c r="M16" s="132"/>
      <c r="N16" s="132"/>
      <c r="O16" s="80">
        <v>1</v>
      </c>
    </row>
    <row r="17" spans="2:15" s="10" customFormat="1" ht="207" customHeight="1" x14ac:dyDescent="0.3">
      <c r="B17" s="42">
        <v>12</v>
      </c>
      <c r="C17" s="41">
        <f t="shared" si="0"/>
        <v>4</v>
      </c>
      <c r="D17" s="41" t="s">
        <v>52</v>
      </c>
      <c r="E17" s="41" t="s">
        <v>13</v>
      </c>
      <c r="F17" s="135" t="s">
        <v>885</v>
      </c>
      <c r="G17" s="132"/>
      <c r="H17" s="132"/>
      <c r="I17" s="132"/>
      <c r="J17" s="132"/>
      <c r="K17" s="132"/>
      <c r="L17" s="132"/>
      <c r="M17" s="132"/>
      <c r="N17" s="132"/>
      <c r="O17" s="80">
        <v>3</v>
      </c>
    </row>
    <row r="18" spans="2:15" s="10" customFormat="1" ht="207" customHeight="1" x14ac:dyDescent="0.3">
      <c r="B18" s="42">
        <v>13</v>
      </c>
      <c r="C18" s="41">
        <f t="shared" si="0"/>
        <v>4</v>
      </c>
      <c r="D18" s="41" t="s">
        <v>52</v>
      </c>
      <c r="E18" s="41" t="s">
        <v>13</v>
      </c>
      <c r="F18" s="132" t="s">
        <v>902</v>
      </c>
      <c r="G18" s="132"/>
      <c r="H18" s="132"/>
      <c r="I18" s="132"/>
      <c r="J18" s="132"/>
      <c r="K18" s="132"/>
      <c r="L18" s="132"/>
      <c r="M18" s="132"/>
      <c r="N18" s="132"/>
      <c r="O18" s="80">
        <v>1</v>
      </c>
    </row>
    <row r="19" spans="2:15" s="10" customFormat="1" ht="207" customHeight="1" x14ac:dyDescent="0.3">
      <c r="B19" s="42">
        <v>14</v>
      </c>
      <c r="C19" s="41">
        <f t="shared" si="0"/>
        <v>4</v>
      </c>
      <c r="D19" s="41" t="s">
        <v>52</v>
      </c>
      <c r="E19" s="41" t="s">
        <v>2</v>
      </c>
      <c r="F19" s="132" t="s">
        <v>877</v>
      </c>
      <c r="G19" s="132"/>
      <c r="H19" s="132"/>
      <c r="I19" s="132"/>
      <c r="J19" s="132"/>
      <c r="K19" s="132"/>
      <c r="L19" s="132"/>
      <c r="M19" s="132"/>
      <c r="N19" s="132"/>
      <c r="O19" s="80">
        <v>1</v>
      </c>
    </row>
    <row r="20" spans="2:15" s="10" customFormat="1" ht="207" customHeight="1" x14ac:dyDescent="0.3">
      <c r="B20" s="42">
        <v>15</v>
      </c>
      <c r="C20" s="41">
        <f t="shared" si="0"/>
        <v>4</v>
      </c>
      <c r="D20" s="41" t="s">
        <v>52</v>
      </c>
      <c r="E20" s="41" t="s">
        <v>13</v>
      </c>
      <c r="F20" s="132" t="s">
        <v>887</v>
      </c>
      <c r="G20" s="132"/>
      <c r="H20" s="132"/>
      <c r="I20" s="132"/>
      <c r="J20" s="132"/>
      <c r="K20" s="132"/>
      <c r="L20" s="132"/>
      <c r="M20" s="132"/>
      <c r="N20" s="132"/>
      <c r="O20" s="79">
        <v>2</v>
      </c>
    </row>
    <row r="21" spans="2:15" s="10" customFormat="1" ht="207" customHeight="1" x14ac:dyDescent="0.3">
      <c r="B21" s="42">
        <v>16</v>
      </c>
      <c r="C21" s="41">
        <f t="shared" si="0"/>
        <v>4</v>
      </c>
      <c r="D21" s="41" t="s">
        <v>52</v>
      </c>
      <c r="E21" s="41" t="s">
        <v>13</v>
      </c>
      <c r="F21" s="132" t="s">
        <v>889</v>
      </c>
      <c r="G21" s="132"/>
      <c r="H21" s="132"/>
      <c r="I21" s="132"/>
      <c r="J21" s="132"/>
      <c r="K21" s="132"/>
      <c r="L21" s="132"/>
      <c r="M21" s="132"/>
      <c r="N21" s="132"/>
      <c r="O21" s="80">
        <v>1</v>
      </c>
    </row>
    <row r="22" spans="2:15" s="10" customFormat="1" ht="207" customHeight="1" x14ac:dyDescent="0.3">
      <c r="B22" s="42">
        <v>17</v>
      </c>
      <c r="C22" s="41">
        <f t="shared" si="0"/>
        <v>4</v>
      </c>
      <c r="D22" s="41" t="s">
        <v>52</v>
      </c>
      <c r="E22" s="41" t="s">
        <v>13</v>
      </c>
      <c r="F22" s="132" t="s">
        <v>886</v>
      </c>
      <c r="G22" s="132"/>
      <c r="H22" s="132"/>
      <c r="I22" s="132"/>
      <c r="J22" s="132"/>
      <c r="K22" s="132"/>
      <c r="L22" s="132"/>
      <c r="M22" s="132"/>
      <c r="N22" s="132"/>
      <c r="O22" s="80">
        <v>1</v>
      </c>
    </row>
    <row r="23" spans="2:15" s="10" customFormat="1" ht="207" customHeight="1" x14ac:dyDescent="0.3">
      <c r="B23" s="42">
        <v>18</v>
      </c>
      <c r="C23" s="41">
        <f t="shared" si="0"/>
        <v>4</v>
      </c>
      <c r="D23" s="41" t="s">
        <v>52</v>
      </c>
      <c r="E23" s="41" t="s">
        <v>13</v>
      </c>
      <c r="F23" s="132" t="s">
        <v>892</v>
      </c>
      <c r="G23" s="132"/>
      <c r="H23" s="132"/>
      <c r="I23" s="132"/>
      <c r="J23" s="132"/>
      <c r="K23" s="132"/>
      <c r="L23" s="132"/>
      <c r="M23" s="132"/>
      <c r="N23" s="132"/>
      <c r="O23" s="80">
        <v>3</v>
      </c>
    </row>
    <row r="24" spans="2:15" s="10" customFormat="1" ht="207" customHeight="1" x14ac:dyDescent="0.3">
      <c r="B24" s="42">
        <v>19</v>
      </c>
      <c r="C24" s="41">
        <f t="shared" si="0"/>
        <v>4</v>
      </c>
      <c r="D24" s="41" t="s">
        <v>52</v>
      </c>
      <c r="E24" s="41" t="s">
        <v>13</v>
      </c>
      <c r="F24" s="132" t="s">
        <v>929</v>
      </c>
      <c r="G24" s="132"/>
      <c r="H24" s="132"/>
      <c r="I24" s="132"/>
      <c r="J24" s="132"/>
      <c r="K24" s="132"/>
      <c r="L24" s="132"/>
      <c r="M24" s="132"/>
      <c r="N24" s="132"/>
      <c r="O24" s="80">
        <v>1</v>
      </c>
    </row>
    <row r="25" spans="2:15" s="10" customFormat="1" ht="207" customHeight="1" x14ac:dyDescent="0.3">
      <c r="B25" s="42">
        <v>20</v>
      </c>
      <c r="C25" s="41">
        <f t="shared" si="0"/>
        <v>4</v>
      </c>
      <c r="D25" s="41" t="s">
        <v>52</v>
      </c>
      <c r="E25" s="41" t="s">
        <v>13</v>
      </c>
      <c r="F25" s="132" t="s">
        <v>903</v>
      </c>
      <c r="G25" s="132"/>
      <c r="H25" s="132"/>
      <c r="I25" s="132"/>
      <c r="J25" s="132"/>
      <c r="K25" s="132"/>
      <c r="L25" s="132"/>
      <c r="M25" s="132"/>
      <c r="N25" s="132"/>
      <c r="O25" s="96">
        <v>1</v>
      </c>
    </row>
    <row r="26" spans="2:15" s="10" customFormat="1" ht="207" customHeight="1" x14ac:dyDescent="0.3">
      <c r="B26" s="42">
        <v>21</v>
      </c>
      <c r="C26" s="41">
        <f t="shared" si="0"/>
        <v>5</v>
      </c>
      <c r="D26" s="41" t="s">
        <v>52</v>
      </c>
      <c r="E26" s="41" t="s">
        <v>16</v>
      </c>
      <c r="F26" s="132" t="s">
        <v>265</v>
      </c>
      <c r="G26" s="133"/>
      <c r="H26" s="133"/>
      <c r="I26" s="133"/>
      <c r="J26" s="133"/>
      <c r="K26" s="133"/>
      <c r="L26" s="133"/>
      <c r="M26" s="133"/>
      <c r="N26" s="133"/>
      <c r="O26" s="80" t="s">
        <v>260</v>
      </c>
    </row>
    <row r="27" spans="2:15" s="10" customFormat="1" ht="207" customHeight="1" x14ac:dyDescent="0.3">
      <c r="B27" s="42">
        <v>22</v>
      </c>
      <c r="C27" s="41">
        <f t="shared" si="0"/>
        <v>5</v>
      </c>
      <c r="D27" s="41" t="s">
        <v>52</v>
      </c>
      <c r="E27" s="41" t="s">
        <v>16</v>
      </c>
      <c r="F27" s="135" t="s">
        <v>266</v>
      </c>
      <c r="G27" s="132"/>
      <c r="H27" s="132"/>
      <c r="I27" s="132"/>
      <c r="J27" s="132"/>
      <c r="K27" s="132"/>
      <c r="L27" s="132"/>
      <c r="M27" s="132"/>
      <c r="N27" s="132"/>
      <c r="O27" s="80" t="s">
        <v>267</v>
      </c>
    </row>
    <row r="28" spans="2:15" s="10" customFormat="1" ht="207" customHeight="1" x14ac:dyDescent="0.3">
      <c r="B28" s="42">
        <v>23</v>
      </c>
      <c r="C28" s="41">
        <f t="shared" si="0"/>
        <v>5</v>
      </c>
      <c r="D28" s="41" t="s">
        <v>52</v>
      </c>
      <c r="E28" s="41" t="s">
        <v>16</v>
      </c>
      <c r="F28" s="135" t="s">
        <v>248</v>
      </c>
      <c r="G28" s="132"/>
      <c r="H28" s="132"/>
      <c r="I28" s="132"/>
      <c r="J28" s="132"/>
      <c r="K28" s="132"/>
      <c r="L28" s="132"/>
      <c r="M28" s="132"/>
      <c r="N28" s="132"/>
      <c r="O28" s="80" t="s">
        <v>257</v>
      </c>
    </row>
    <row r="29" spans="2:15" s="10" customFormat="1" ht="207" customHeight="1" x14ac:dyDescent="0.3">
      <c r="B29" s="42">
        <v>24</v>
      </c>
      <c r="C29" s="41">
        <f t="shared" si="0"/>
        <v>5</v>
      </c>
      <c r="D29" s="41" t="s">
        <v>52</v>
      </c>
      <c r="E29" s="41" t="s">
        <v>16</v>
      </c>
      <c r="F29" s="132" t="s">
        <v>250</v>
      </c>
      <c r="G29" s="132"/>
      <c r="H29" s="132"/>
      <c r="I29" s="132"/>
      <c r="J29" s="132"/>
      <c r="K29" s="132"/>
      <c r="L29" s="132"/>
      <c r="M29" s="132"/>
      <c r="N29" s="132"/>
      <c r="O29" s="80" t="s">
        <v>264</v>
      </c>
    </row>
    <row r="30" spans="2:15" s="10" customFormat="1" ht="207" customHeight="1" x14ac:dyDescent="0.3">
      <c r="B30" s="42">
        <v>25</v>
      </c>
      <c r="C30" s="41">
        <f t="shared" si="0"/>
        <v>2.5</v>
      </c>
      <c r="D30" s="41" t="s">
        <v>52</v>
      </c>
      <c r="E30" s="41" t="s">
        <v>25</v>
      </c>
      <c r="F30" s="132" t="s">
        <v>962</v>
      </c>
      <c r="G30" s="132"/>
      <c r="H30" s="132"/>
      <c r="I30" s="132"/>
      <c r="J30" s="132"/>
      <c r="K30" s="132"/>
      <c r="L30" s="132"/>
      <c r="M30" s="132"/>
      <c r="N30" s="132"/>
      <c r="O30" s="79" t="s">
        <v>252</v>
      </c>
    </row>
    <row r="31" spans="2:15" s="10" customFormat="1" ht="207" customHeight="1" x14ac:dyDescent="0.3">
      <c r="B31" s="42">
        <v>26</v>
      </c>
      <c r="C31" s="41">
        <f t="shared" si="0"/>
        <v>2.5</v>
      </c>
      <c r="D31" s="66" t="s">
        <v>52</v>
      </c>
      <c r="E31" s="41" t="s">
        <v>25</v>
      </c>
      <c r="F31" s="132" t="s">
        <v>428</v>
      </c>
      <c r="G31" s="132"/>
      <c r="H31" s="132"/>
      <c r="I31" s="132"/>
      <c r="J31" s="132"/>
      <c r="K31" s="132"/>
      <c r="L31" s="132"/>
      <c r="M31" s="132"/>
      <c r="N31" s="132"/>
      <c r="O31" s="79">
        <v>3</v>
      </c>
    </row>
    <row r="32" spans="2:15" s="10" customFormat="1" ht="207" customHeight="1" x14ac:dyDescent="0.3">
      <c r="B32" s="42">
        <v>27</v>
      </c>
      <c r="C32" s="41">
        <f t="shared" si="0"/>
        <v>2.5</v>
      </c>
      <c r="D32" s="41" t="s">
        <v>52</v>
      </c>
      <c r="E32" s="41" t="s">
        <v>25</v>
      </c>
      <c r="F32" s="132" t="s">
        <v>429</v>
      </c>
      <c r="G32" s="132"/>
      <c r="H32" s="132"/>
      <c r="I32" s="132"/>
      <c r="J32" s="132"/>
      <c r="K32" s="132"/>
      <c r="L32" s="132"/>
      <c r="M32" s="132"/>
      <c r="N32" s="132"/>
      <c r="O32" s="80">
        <v>2</v>
      </c>
    </row>
  </sheetData>
  <mergeCells count="30">
    <mergeCell ref="F28:N28"/>
    <mergeCell ref="F29:N29"/>
    <mergeCell ref="F14:N14"/>
    <mergeCell ref="B3:O3"/>
    <mergeCell ref="C4:F4"/>
    <mergeCell ref="F5:N5"/>
    <mergeCell ref="F6:N6"/>
    <mergeCell ref="F7:N7"/>
    <mergeCell ref="F8:N8"/>
    <mergeCell ref="F9:N9"/>
    <mergeCell ref="F10:N10"/>
    <mergeCell ref="F11:N11"/>
    <mergeCell ref="F12:N12"/>
    <mergeCell ref="F13:N13"/>
    <mergeCell ref="F30:N30"/>
    <mergeCell ref="F31:N31"/>
    <mergeCell ref="F32:N32"/>
    <mergeCell ref="F26:N26"/>
    <mergeCell ref="F15:N15"/>
    <mergeCell ref="F16:N16"/>
    <mergeCell ref="F17:N17"/>
    <mergeCell ref="F18:N18"/>
    <mergeCell ref="F19:N19"/>
    <mergeCell ref="F20:N20"/>
    <mergeCell ref="F21:N21"/>
    <mergeCell ref="F22:N22"/>
    <mergeCell ref="F23:N23"/>
    <mergeCell ref="F24:N24"/>
    <mergeCell ref="F25:N25"/>
    <mergeCell ref="F27:N27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26" fitToWidth="4" fitToHeight="4" orientation="portrait" r:id="rId1"/>
  <rowBreaks count="2" manualBreakCount="2">
    <brk id="13" min="1" max="14" man="1"/>
    <brk id="23" min="1" max="14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30</vt:i4>
      </vt:variant>
      <vt:variant>
        <vt:lpstr>이름 지정된 범위</vt:lpstr>
      </vt:variant>
      <vt:variant>
        <vt:i4>29</vt:i4>
      </vt:variant>
    </vt:vector>
  </HeadingPairs>
  <TitlesOfParts>
    <vt:vector size="59" baseType="lpstr">
      <vt:lpstr>시험 SETTING</vt:lpstr>
      <vt:lpstr>시험지</vt:lpstr>
      <vt:lpstr>답안지</vt:lpstr>
      <vt:lpstr>신입용 (공통)</vt:lpstr>
      <vt:lpstr>TRIM 일반용</vt:lpstr>
      <vt:lpstr>TRIM 전장용</vt:lpstr>
      <vt:lpstr>Dualdetach Carrierdetach 일반용</vt:lpstr>
      <vt:lpstr>Dualdetach Carrierdetach 전장용</vt:lpstr>
      <vt:lpstr>ITS 각인 일반용</vt:lpstr>
      <vt:lpstr>ITS 각인 전장용</vt:lpstr>
      <vt:lpstr>X-Ray 일반용</vt:lpstr>
      <vt:lpstr>X-Ray 전장용</vt:lpstr>
      <vt:lpstr>수입검사 일반용</vt:lpstr>
      <vt:lpstr>수입검사 전장용</vt:lpstr>
      <vt:lpstr>출하검사 일반용</vt:lpstr>
      <vt:lpstr>출하검사 전장용</vt:lpstr>
      <vt:lpstr>Brown OXIDE 일반용</vt:lpstr>
      <vt:lpstr>Brown OXIDE 전장용</vt:lpstr>
      <vt:lpstr>CZ 전처리 일반용 </vt:lpstr>
      <vt:lpstr>CZ 전처리 전장용</vt:lpstr>
      <vt:lpstr>Lay-up 일반용</vt:lpstr>
      <vt:lpstr>Lay-up 전장용</vt:lpstr>
      <vt:lpstr>PRESS 일반용</vt:lpstr>
      <vt:lpstr>PRESS 전장용</vt:lpstr>
      <vt:lpstr>액분석 일반용 </vt:lpstr>
      <vt:lpstr>액분석 전장용</vt:lpstr>
      <vt:lpstr>노바본드 일반용</vt:lpstr>
      <vt:lpstr>노바본드 전장용</vt:lpstr>
      <vt:lpstr>수직흑화 일반용</vt:lpstr>
      <vt:lpstr>수직흑화 전장용</vt:lpstr>
      <vt:lpstr>'Brown OXIDE 일반용'!Print_Area</vt:lpstr>
      <vt:lpstr>'Brown OXIDE 전장용'!Print_Area</vt:lpstr>
      <vt:lpstr>'CZ 전처리 일반용 '!Print_Area</vt:lpstr>
      <vt:lpstr>'CZ 전처리 전장용'!Print_Area</vt:lpstr>
      <vt:lpstr>'Dualdetach Carrierdetach 일반용'!Print_Area</vt:lpstr>
      <vt:lpstr>'Dualdetach Carrierdetach 전장용'!Print_Area</vt:lpstr>
      <vt:lpstr>'ITS 각인 일반용'!Print_Area</vt:lpstr>
      <vt:lpstr>'ITS 각인 전장용'!Print_Area</vt:lpstr>
      <vt:lpstr>'Lay-up 일반용'!Print_Area</vt:lpstr>
      <vt:lpstr>'Lay-up 전장용'!Print_Area</vt:lpstr>
      <vt:lpstr>'PRESS 일반용'!Print_Area</vt:lpstr>
      <vt:lpstr>'PRESS 전장용'!Print_Area</vt:lpstr>
      <vt:lpstr>'TRIM 일반용'!Print_Area</vt:lpstr>
      <vt:lpstr>'TRIM 전장용'!Print_Area</vt:lpstr>
      <vt:lpstr>'X-Ray 일반용'!Print_Area</vt:lpstr>
      <vt:lpstr>'X-Ray 전장용'!Print_Area</vt:lpstr>
      <vt:lpstr>'노바본드 일반용'!Print_Area</vt:lpstr>
      <vt:lpstr>'노바본드 전장용'!Print_Area</vt:lpstr>
      <vt:lpstr>'수입검사 일반용'!Print_Area</vt:lpstr>
      <vt:lpstr>'수입검사 전장용'!Print_Area</vt:lpstr>
      <vt:lpstr>'수직흑화 일반용'!Print_Area</vt:lpstr>
      <vt:lpstr>'수직흑화 전장용'!Print_Area</vt:lpstr>
      <vt:lpstr>'시험 SETTING'!Print_Area</vt:lpstr>
      <vt:lpstr>시험지!Print_Area</vt:lpstr>
      <vt:lpstr>'신입용 (공통)'!Print_Area</vt:lpstr>
      <vt:lpstr>'액분석 일반용 '!Print_Area</vt:lpstr>
      <vt:lpstr>'액분석 전장용'!Print_Area</vt:lpstr>
      <vt:lpstr>'출하검사 일반용'!Print_Area</vt:lpstr>
      <vt:lpstr>'출하검사 전장용'!Print_Area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동균 임</dc:creator>
  <cp:lastModifiedBy>국진 오</cp:lastModifiedBy>
  <cp:lastPrinted>2026-06-19T07:07:33Z</cp:lastPrinted>
  <dcterms:created xsi:type="dcterms:W3CDTF">2026-02-09T02:18:33Z</dcterms:created>
  <dcterms:modified xsi:type="dcterms:W3CDTF">2026-07-28T04:37:33Z</dcterms:modified>
</cp:coreProperties>
</file>